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embeddings/oleObject2.bin" ContentType="application/vnd.openxmlformats-officedocument.oleObject"/>
  <Override PartName="/xl/drawings/drawing5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bookViews>
    <workbookView xWindow="-105" yWindow="-105" windowWidth="23250" windowHeight="12570" tabRatio="789" firstSheet="2" activeTab="2"/>
  </bookViews>
  <sheets>
    <sheet name="METALIC - SẦN" sheetId="13" state="hidden" r:id="rId1"/>
    <sheet name="Viralwindow --DC" sheetId="12" state="hidden" r:id="rId2"/>
    <sheet name="TỒN KHO" sheetId="38" r:id="rId3"/>
    <sheet name="XUẤT KHO" sheetId="36" r:id="rId4"/>
    <sheet name="NHẬP KHO " sheetId="32" r:id="rId5"/>
  </sheets>
  <definedNames>
    <definedName name="_xlnm._FilterDatabase" localSheetId="0" hidden="1">'METALIC - SẦN'!$B$1:$D$154</definedName>
    <definedName name="_xlnm._FilterDatabase" localSheetId="4" hidden="1">'NHẬP KHO '!$A$3:$W$128</definedName>
    <definedName name="_xlnm._FilterDatabase" localSheetId="2" hidden="1">'TỒN KHO'!$A$3:$O$129</definedName>
    <definedName name="_xlnm._FilterDatabase" localSheetId="3" hidden="1">'XUẤT KHO'!$A$3:$AB$128</definedName>
    <definedName name="_xlnm.Print_Area" localSheetId="2">'TỒN KHO'!$A$1:$O$128</definedName>
    <definedName name="_xlnm.Print_Titles" localSheetId="0">'METALIC - SẦN'!$2:$2</definedName>
    <definedName name="_xlnm.Print_Titles" localSheetId="4">'NHẬP KHO '!$2:$2</definedName>
    <definedName name="_xlnm.Print_Titles" localSheetId="2">'TỒN KHO'!$2:$2</definedName>
    <definedName name="_xlnm.Print_Titles" localSheetId="1">'Viralwindow --DC'!$3:$3</definedName>
    <definedName name="_xlnm.Print_Titles" localSheetId="3">'XUẤT KHO'!$2:$2</definedName>
  </definedNames>
  <calcPr calcId="162913"/>
</workbook>
</file>

<file path=xl/calcChain.xml><?xml version="1.0" encoding="utf-8"?>
<calcChain xmlns="http://schemas.openxmlformats.org/spreadsheetml/2006/main">
  <c r="T4" i="32" l="1"/>
  <c r="J122" i="38"/>
  <c r="J111" i="38"/>
  <c r="J96" i="38"/>
  <c r="J71" i="38"/>
  <c r="J62" i="38"/>
  <c r="J49" i="38"/>
  <c r="J46" i="38"/>
  <c r="J42" i="38"/>
  <c r="J38" i="38"/>
  <c r="J6" i="38"/>
  <c r="Y4" i="36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33" i="38"/>
  <c r="J34" i="38"/>
  <c r="J35" i="38"/>
  <c r="J36" i="38"/>
  <c r="J37" i="38"/>
  <c r="J39" i="38"/>
  <c r="J40" i="38"/>
  <c r="J41" i="38"/>
  <c r="J43" i="38"/>
  <c r="J44" i="38"/>
  <c r="J45" i="38"/>
  <c r="J47" i="38"/>
  <c r="J48" i="38"/>
  <c r="J50" i="38"/>
  <c r="J51" i="38"/>
  <c r="J52" i="38"/>
  <c r="J53" i="38"/>
  <c r="J54" i="38"/>
  <c r="J55" i="38"/>
  <c r="J56" i="38"/>
  <c r="J57" i="38"/>
  <c r="J58" i="38"/>
  <c r="J59" i="38"/>
  <c r="J60" i="38"/>
  <c r="J61" i="38"/>
  <c r="J63" i="38"/>
  <c r="J64" i="38"/>
  <c r="J65" i="38"/>
  <c r="J66" i="38"/>
  <c r="J67" i="38"/>
  <c r="J68" i="38"/>
  <c r="J69" i="38"/>
  <c r="J70" i="38"/>
  <c r="J72" i="38"/>
  <c r="J73" i="38"/>
  <c r="J74" i="38"/>
  <c r="J75" i="38"/>
  <c r="J76" i="38"/>
  <c r="J77" i="38"/>
  <c r="J78" i="38"/>
  <c r="J79" i="38"/>
  <c r="J80" i="38"/>
  <c r="J81" i="38"/>
  <c r="J82" i="38"/>
  <c r="J83" i="38"/>
  <c r="J84" i="38"/>
  <c r="J85" i="38"/>
  <c r="J86" i="38"/>
  <c r="J87" i="38"/>
  <c r="J88" i="38"/>
  <c r="J89" i="38"/>
  <c r="J90" i="38"/>
  <c r="J91" i="38"/>
  <c r="J92" i="38"/>
  <c r="J93" i="38"/>
  <c r="J94" i="38"/>
  <c r="J95" i="38"/>
  <c r="J97" i="38"/>
  <c r="J98" i="38"/>
  <c r="J99" i="38"/>
  <c r="J100" i="38"/>
  <c r="J101" i="38"/>
  <c r="J102" i="38"/>
  <c r="J103" i="38"/>
  <c r="J104" i="38"/>
  <c r="J105" i="38"/>
  <c r="J106" i="38"/>
  <c r="J107" i="38"/>
  <c r="J108" i="38"/>
  <c r="J109" i="38"/>
  <c r="J110" i="38"/>
  <c r="J112" i="38"/>
  <c r="J113" i="38"/>
  <c r="J114" i="38"/>
  <c r="J115" i="38"/>
  <c r="J116" i="38"/>
  <c r="J117" i="38"/>
  <c r="J118" i="38"/>
  <c r="J119" i="38"/>
  <c r="J120" i="38"/>
  <c r="J121" i="38"/>
  <c r="J123" i="38"/>
  <c r="J124" i="38"/>
  <c r="J125" i="38"/>
  <c r="J126" i="38"/>
  <c r="J127" i="38"/>
  <c r="Y36" i="36"/>
  <c r="J3" i="38" l="1"/>
  <c r="H120" i="38"/>
  <c r="I120" i="38"/>
  <c r="Y120" i="36"/>
  <c r="Z120" i="36" s="1"/>
  <c r="T120" i="32"/>
  <c r="U120" i="32"/>
  <c r="K120" i="38" l="1"/>
  <c r="L120" i="38" s="1"/>
  <c r="K4" i="36"/>
  <c r="Y6" i="36"/>
  <c r="H4" i="32" l="1"/>
  <c r="I4" i="32"/>
  <c r="J4" i="32"/>
  <c r="K4" i="32"/>
  <c r="L4" i="32"/>
  <c r="M4" i="32"/>
  <c r="N4" i="32"/>
  <c r="O4" i="32"/>
  <c r="P4" i="32"/>
  <c r="Q4" i="32"/>
  <c r="R4" i="32"/>
  <c r="S4" i="32"/>
  <c r="G4" i="32"/>
  <c r="I4" i="36" l="1"/>
  <c r="J4" i="36"/>
  <c r="L4" i="36"/>
  <c r="M4" i="36"/>
  <c r="N4" i="36"/>
  <c r="O4" i="36"/>
  <c r="P4" i="36"/>
  <c r="Q4" i="36"/>
  <c r="R4" i="36"/>
  <c r="S4" i="36"/>
  <c r="T4" i="36"/>
  <c r="U4" i="36"/>
  <c r="V4" i="36"/>
  <c r="W4" i="36"/>
  <c r="X4" i="36"/>
  <c r="H4" i="36"/>
  <c r="Y37" i="36" l="1"/>
  <c r="Z37" i="36" s="1"/>
  <c r="Y39" i="36"/>
  <c r="Z39" i="36" s="1"/>
  <c r="Y40" i="36"/>
  <c r="Z40" i="36" s="1"/>
  <c r="Y41" i="36"/>
  <c r="Z41" i="36" s="1"/>
  <c r="Y43" i="36"/>
  <c r="Z43" i="36" s="1"/>
  <c r="Y44" i="36"/>
  <c r="Z44" i="36" s="1"/>
  <c r="Y45" i="36"/>
  <c r="Z45" i="36" s="1"/>
  <c r="Y47" i="36"/>
  <c r="Y48" i="36"/>
  <c r="Y50" i="36"/>
  <c r="Z50" i="36" s="1"/>
  <c r="Y51" i="36"/>
  <c r="Z51" i="36" s="1"/>
  <c r="Y52" i="36"/>
  <c r="Z52" i="36" s="1"/>
  <c r="Y53" i="36"/>
  <c r="Z53" i="36" s="1"/>
  <c r="Y54" i="36"/>
  <c r="Z54" i="36" s="1"/>
  <c r="Y55" i="36"/>
  <c r="Z55" i="36" s="1"/>
  <c r="Y56" i="36"/>
  <c r="Y57" i="36"/>
  <c r="Z57" i="36" s="1"/>
  <c r="Y58" i="36"/>
  <c r="Z58" i="36" s="1"/>
  <c r="Y59" i="36"/>
  <c r="Z59" i="36" s="1"/>
  <c r="Y60" i="36"/>
  <c r="Y61" i="36"/>
  <c r="Z61" i="36" s="1"/>
  <c r="Y63" i="36"/>
  <c r="Z63" i="36" s="1"/>
  <c r="Y64" i="36"/>
  <c r="Y65" i="36"/>
  <c r="Z65" i="36" s="1"/>
  <c r="Y66" i="36"/>
  <c r="Z66" i="36" s="1"/>
  <c r="Y67" i="36"/>
  <c r="Z67" i="36" s="1"/>
  <c r="Y68" i="36"/>
  <c r="Y69" i="36"/>
  <c r="Z69" i="36" s="1"/>
  <c r="Y70" i="36"/>
  <c r="Z70" i="36" s="1"/>
  <c r="Y72" i="36"/>
  <c r="Y73" i="36"/>
  <c r="Z73" i="36" s="1"/>
  <c r="Y74" i="36"/>
  <c r="Z74" i="36" s="1"/>
  <c r="Y75" i="36"/>
  <c r="Z75" i="36" s="1"/>
  <c r="Y76" i="36"/>
  <c r="Y77" i="36"/>
  <c r="Z77" i="36" s="1"/>
  <c r="Y78" i="36"/>
  <c r="Z78" i="36" s="1"/>
  <c r="Y79" i="36"/>
  <c r="Z79" i="36" s="1"/>
  <c r="Y80" i="36"/>
  <c r="Y81" i="36"/>
  <c r="Z81" i="36" s="1"/>
  <c r="Y82" i="36"/>
  <c r="Z82" i="36" s="1"/>
  <c r="Y83" i="36"/>
  <c r="Z83" i="36" s="1"/>
  <c r="Y84" i="36"/>
  <c r="Y85" i="36"/>
  <c r="Z85" i="36" s="1"/>
  <c r="Y86" i="36"/>
  <c r="Z86" i="36" s="1"/>
  <c r="Y87" i="36"/>
  <c r="Z87" i="36" s="1"/>
  <c r="Y88" i="36"/>
  <c r="Y89" i="36"/>
  <c r="Z89" i="36" s="1"/>
  <c r="Y90" i="36"/>
  <c r="Z90" i="36" s="1"/>
  <c r="Y91" i="36"/>
  <c r="Z91" i="36" s="1"/>
  <c r="Y92" i="36"/>
  <c r="Y93" i="36"/>
  <c r="Z93" i="36" s="1"/>
  <c r="Y94" i="36"/>
  <c r="Z94" i="36" s="1"/>
  <c r="Y95" i="36"/>
  <c r="Z95" i="36" s="1"/>
  <c r="Y97" i="36"/>
  <c r="Z97" i="36" s="1"/>
  <c r="Y98" i="36"/>
  <c r="Z98" i="36" s="1"/>
  <c r="Y99" i="36"/>
  <c r="Z99" i="36" s="1"/>
  <c r="Y100" i="36"/>
  <c r="Y101" i="36"/>
  <c r="Z101" i="36" s="1"/>
  <c r="Y102" i="36"/>
  <c r="Z102" i="36" s="1"/>
  <c r="Y103" i="36"/>
  <c r="Z103" i="36" s="1"/>
  <c r="Y104" i="36"/>
  <c r="Y105" i="36"/>
  <c r="Z105" i="36" s="1"/>
  <c r="Y106" i="36"/>
  <c r="Z106" i="36" s="1"/>
  <c r="Y107" i="36"/>
  <c r="Z107" i="36" s="1"/>
  <c r="Y108" i="36"/>
  <c r="Y109" i="36"/>
  <c r="Z109" i="36" s="1"/>
  <c r="Y110" i="36"/>
  <c r="Z110" i="36" s="1"/>
  <c r="Y112" i="36"/>
  <c r="Y113" i="36"/>
  <c r="Z113" i="36" s="1"/>
  <c r="Y114" i="36"/>
  <c r="Z114" i="36" s="1"/>
  <c r="Y115" i="36"/>
  <c r="Z115" i="36" s="1"/>
  <c r="Y116" i="36"/>
  <c r="Y117" i="36"/>
  <c r="Z117" i="36" s="1"/>
  <c r="Y118" i="36"/>
  <c r="Z118" i="36" s="1"/>
  <c r="Y119" i="36"/>
  <c r="Z119" i="36" s="1"/>
  <c r="Y121" i="36"/>
  <c r="Z121" i="36" s="1"/>
  <c r="Y123" i="36"/>
  <c r="Z123" i="36" s="1"/>
  <c r="Y124" i="36"/>
  <c r="Z124" i="36" s="1"/>
  <c r="Y125" i="36"/>
  <c r="Z125" i="36" s="1"/>
  <c r="Y126" i="36"/>
  <c r="Z126" i="36" s="1"/>
  <c r="Y127" i="36"/>
  <c r="Z127" i="36" s="1"/>
  <c r="Y7" i="36"/>
  <c r="Z7" i="36" s="1"/>
  <c r="Y8" i="36"/>
  <c r="Y9" i="36"/>
  <c r="Z9" i="36" s="1"/>
  <c r="Y10" i="36"/>
  <c r="Z10" i="36" s="1"/>
  <c r="Y11" i="36"/>
  <c r="Z11" i="36" s="1"/>
  <c r="Y12" i="36"/>
  <c r="Y13" i="36"/>
  <c r="Z13" i="36" s="1"/>
  <c r="Y14" i="36"/>
  <c r="Z14" i="36" s="1"/>
  <c r="Y15" i="36"/>
  <c r="Z15" i="36" s="1"/>
  <c r="Y16" i="36"/>
  <c r="Y17" i="36"/>
  <c r="Z17" i="36" s="1"/>
  <c r="Y18" i="36"/>
  <c r="Z18" i="36" s="1"/>
  <c r="Y19" i="36"/>
  <c r="Z19" i="36" s="1"/>
  <c r="Y20" i="36"/>
  <c r="Z20" i="36" s="1"/>
  <c r="Y21" i="36"/>
  <c r="Z21" i="36" s="1"/>
  <c r="Y22" i="36"/>
  <c r="Z22" i="36" s="1"/>
  <c r="Y23" i="36"/>
  <c r="Z23" i="36" s="1"/>
  <c r="Y24" i="36"/>
  <c r="Y25" i="36"/>
  <c r="Z25" i="36" s="1"/>
  <c r="Y26" i="36"/>
  <c r="Z26" i="36" s="1"/>
  <c r="Y27" i="36"/>
  <c r="Z27" i="36" s="1"/>
  <c r="Y28" i="36"/>
  <c r="Y29" i="36"/>
  <c r="Z29" i="36" s="1"/>
  <c r="Y30" i="36"/>
  <c r="Z30" i="36" s="1"/>
  <c r="Y31" i="36"/>
  <c r="Z31" i="36" s="1"/>
  <c r="Y32" i="36"/>
  <c r="Y33" i="36"/>
  <c r="Z33" i="36" s="1"/>
  <c r="Y34" i="36"/>
  <c r="Z34" i="36" s="1"/>
  <c r="Y35" i="36"/>
  <c r="Z35" i="36" s="1"/>
  <c r="Z36" i="36"/>
  <c r="Z32" i="36" l="1"/>
  <c r="Z16" i="36"/>
  <c r="Z80" i="36"/>
  <c r="Z24" i="36"/>
  <c r="Z72" i="36"/>
  <c r="Z68" i="36"/>
  <c r="Z56" i="36"/>
  <c r="Z8" i="36"/>
  <c r="Z116" i="36"/>
  <c r="Z104" i="36"/>
  <c r="Z88" i="36"/>
  <c r="Z38" i="36"/>
  <c r="Z42" i="36"/>
  <c r="Z122" i="36"/>
  <c r="Z28" i="36"/>
  <c r="Z12" i="36"/>
  <c r="Z112" i="36"/>
  <c r="Z108" i="36"/>
  <c r="Z84" i="36"/>
  <c r="Z64" i="36"/>
  <c r="Z60" i="36"/>
  <c r="Y49" i="36"/>
  <c r="Y71" i="36"/>
  <c r="Y111" i="36"/>
  <c r="Y46" i="36"/>
  <c r="Z100" i="36"/>
  <c r="Z92" i="36"/>
  <c r="Z76" i="36"/>
  <c r="Z48" i="36"/>
  <c r="Y42" i="36"/>
  <c r="Z47" i="36"/>
  <c r="Y62" i="36"/>
  <c r="Y96" i="36"/>
  <c r="Y122" i="36"/>
  <c r="Y38" i="36"/>
  <c r="Z111" i="36" l="1"/>
  <c r="Z71" i="36"/>
  <c r="Z96" i="36"/>
  <c r="Z49" i="36"/>
  <c r="Z62" i="36"/>
  <c r="Z46" i="36"/>
  <c r="G128" i="32"/>
  <c r="T124" i="32"/>
  <c r="I124" i="38" s="1"/>
  <c r="T125" i="32"/>
  <c r="I125" i="38" s="1"/>
  <c r="T126" i="32"/>
  <c r="I126" i="38" s="1"/>
  <c r="T127" i="32"/>
  <c r="I127" i="38" s="1"/>
  <c r="T123" i="32"/>
  <c r="I123" i="38" s="1"/>
  <c r="T121" i="32"/>
  <c r="I121" i="38" s="1"/>
  <c r="T7" i="32"/>
  <c r="I7" i="38" s="1"/>
  <c r="T8" i="32"/>
  <c r="I8" i="38" s="1"/>
  <c r="T9" i="32"/>
  <c r="I9" i="38" s="1"/>
  <c r="T10" i="32"/>
  <c r="I10" i="38" s="1"/>
  <c r="T11" i="32"/>
  <c r="I11" i="38" s="1"/>
  <c r="T12" i="32"/>
  <c r="I12" i="38" s="1"/>
  <c r="T13" i="32"/>
  <c r="I13" i="38" s="1"/>
  <c r="T14" i="32"/>
  <c r="I14" i="38" s="1"/>
  <c r="T15" i="32"/>
  <c r="I15" i="38" s="1"/>
  <c r="T16" i="32"/>
  <c r="I16" i="38" s="1"/>
  <c r="T17" i="32"/>
  <c r="T18" i="32"/>
  <c r="I18" i="38" s="1"/>
  <c r="T19" i="32"/>
  <c r="I19" i="38" s="1"/>
  <c r="T20" i="32"/>
  <c r="I20" i="38" s="1"/>
  <c r="T21" i="32"/>
  <c r="I21" i="38" s="1"/>
  <c r="T22" i="32"/>
  <c r="I22" i="38" s="1"/>
  <c r="T23" i="32"/>
  <c r="I23" i="38" s="1"/>
  <c r="T24" i="32"/>
  <c r="I24" i="38" s="1"/>
  <c r="T25" i="32"/>
  <c r="I25" i="38" s="1"/>
  <c r="T26" i="32"/>
  <c r="I26" i="38" s="1"/>
  <c r="T27" i="32"/>
  <c r="I27" i="38" s="1"/>
  <c r="T28" i="32"/>
  <c r="I28" i="38" s="1"/>
  <c r="T29" i="32"/>
  <c r="I29" i="38" s="1"/>
  <c r="T30" i="32"/>
  <c r="I30" i="38" s="1"/>
  <c r="T31" i="32"/>
  <c r="I31" i="38" s="1"/>
  <c r="T32" i="32"/>
  <c r="I32" i="38" s="1"/>
  <c r="T33" i="32"/>
  <c r="I33" i="38" s="1"/>
  <c r="T34" i="32"/>
  <c r="I34" i="38" s="1"/>
  <c r="T35" i="32"/>
  <c r="I35" i="38" s="1"/>
  <c r="T36" i="32"/>
  <c r="I36" i="38" s="1"/>
  <c r="T37" i="32"/>
  <c r="I37" i="38" s="1"/>
  <c r="T39" i="32"/>
  <c r="T40" i="32"/>
  <c r="I40" i="38" s="1"/>
  <c r="T41" i="32"/>
  <c r="I41" i="38" s="1"/>
  <c r="T43" i="32"/>
  <c r="I43" i="38" s="1"/>
  <c r="T44" i="32"/>
  <c r="I44" i="38" s="1"/>
  <c r="T45" i="32"/>
  <c r="I45" i="38" s="1"/>
  <c r="T47" i="32"/>
  <c r="I47" i="38" s="1"/>
  <c r="T48" i="32"/>
  <c r="I48" i="38" s="1"/>
  <c r="T50" i="32"/>
  <c r="I50" i="38" s="1"/>
  <c r="T51" i="32"/>
  <c r="I51" i="38" s="1"/>
  <c r="T52" i="32"/>
  <c r="I52" i="38" s="1"/>
  <c r="T53" i="32"/>
  <c r="I53" i="38" s="1"/>
  <c r="T54" i="32"/>
  <c r="I54" i="38" s="1"/>
  <c r="T55" i="32"/>
  <c r="I55" i="38" s="1"/>
  <c r="T56" i="32"/>
  <c r="I56" i="38" s="1"/>
  <c r="T57" i="32"/>
  <c r="I57" i="38" s="1"/>
  <c r="T58" i="32"/>
  <c r="I58" i="38" s="1"/>
  <c r="T59" i="32"/>
  <c r="I59" i="38" s="1"/>
  <c r="T60" i="32"/>
  <c r="I60" i="38" s="1"/>
  <c r="T61" i="32"/>
  <c r="I61" i="38" s="1"/>
  <c r="T63" i="32"/>
  <c r="I63" i="38" s="1"/>
  <c r="T64" i="32"/>
  <c r="I64" i="38" s="1"/>
  <c r="T65" i="32"/>
  <c r="I65" i="38" s="1"/>
  <c r="T66" i="32"/>
  <c r="I66" i="38" s="1"/>
  <c r="T67" i="32"/>
  <c r="I67" i="38" s="1"/>
  <c r="T68" i="32"/>
  <c r="I68" i="38" s="1"/>
  <c r="T69" i="32"/>
  <c r="I69" i="38" s="1"/>
  <c r="T70" i="32"/>
  <c r="I70" i="38" s="1"/>
  <c r="T72" i="32"/>
  <c r="I72" i="38" s="1"/>
  <c r="T73" i="32"/>
  <c r="I73" i="38" s="1"/>
  <c r="T74" i="32"/>
  <c r="I74" i="38" s="1"/>
  <c r="T75" i="32"/>
  <c r="I75" i="38" s="1"/>
  <c r="T76" i="32"/>
  <c r="I76" i="38" s="1"/>
  <c r="T77" i="32"/>
  <c r="I77" i="38" s="1"/>
  <c r="T78" i="32"/>
  <c r="I78" i="38" s="1"/>
  <c r="T79" i="32"/>
  <c r="I79" i="38" s="1"/>
  <c r="T80" i="32"/>
  <c r="I80" i="38" s="1"/>
  <c r="T81" i="32"/>
  <c r="I81" i="38" s="1"/>
  <c r="T82" i="32"/>
  <c r="I82" i="38" s="1"/>
  <c r="T83" i="32"/>
  <c r="I83" i="38" s="1"/>
  <c r="T84" i="32"/>
  <c r="I84" i="38" s="1"/>
  <c r="T85" i="32"/>
  <c r="I85" i="38" s="1"/>
  <c r="T86" i="32"/>
  <c r="I86" i="38" s="1"/>
  <c r="T87" i="32"/>
  <c r="I87" i="38" s="1"/>
  <c r="T88" i="32"/>
  <c r="I88" i="38" s="1"/>
  <c r="T89" i="32"/>
  <c r="I89" i="38" s="1"/>
  <c r="T90" i="32"/>
  <c r="I90" i="38" s="1"/>
  <c r="T91" i="32"/>
  <c r="I91" i="38" s="1"/>
  <c r="T92" i="32"/>
  <c r="I92" i="38" s="1"/>
  <c r="T93" i="32"/>
  <c r="I93" i="38" s="1"/>
  <c r="T94" i="32"/>
  <c r="I94" i="38" s="1"/>
  <c r="T95" i="32"/>
  <c r="I95" i="38" s="1"/>
  <c r="T97" i="32"/>
  <c r="I97" i="38" s="1"/>
  <c r="T98" i="32"/>
  <c r="I98" i="38" s="1"/>
  <c r="T99" i="32"/>
  <c r="I99" i="38" s="1"/>
  <c r="T100" i="32"/>
  <c r="I100" i="38" s="1"/>
  <c r="T101" i="32"/>
  <c r="I101" i="38" s="1"/>
  <c r="T102" i="32"/>
  <c r="I102" i="38" s="1"/>
  <c r="T103" i="32"/>
  <c r="I103" i="38" s="1"/>
  <c r="T104" i="32"/>
  <c r="I104" i="38" s="1"/>
  <c r="T105" i="32"/>
  <c r="I105" i="38" s="1"/>
  <c r="T106" i="32"/>
  <c r="I106" i="38" s="1"/>
  <c r="T107" i="32"/>
  <c r="I107" i="38" s="1"/>
  <c r="T108" i="32"/>
  <c r="I108" i="38" s="1"/>
  <c r="T109" i="32"/>
  <c r="I109" i="38" s="1"/>
  <c r="T110" i="32"/>
  <c r="I110" i="38" s="1"/>
  <c r="T112" i="32"/>
  <c r="I112" i="38" s="1"/>
  <c r="T113" i="32"/>
  <c r="I113" i="38" s="1"/>
  <c r="T114" i="32"/>
  <c r="I114" i="38" s="1"/>
  <c r="T115" i="32"/>
  <c r="I115" i="38" s="1"/>
  <c r="T116" i="32"/>
  <c r="I116" i="38" s="1"/>
  <c r="T117" i="32"/>
  <c r="I117" i="38" s="1"/>
  <c r="T118" i="32"/>
  <c r="I118" i="38" s="1"/>
  <c r="T119" i="32"/>
  <c r="I119" i="38" s="1"/>
  <c r="T6" i="32"/>
  <c r="I6" i="38" s="1"/>
  <c r="N5" i="38"/>
  <c r="O5" i="38"/>
  <c r="G5" i="38"/>
  <c r="N38" i="38"/>
  <c r="O38" i="38"/>
  <c r="G38" i="38"/>
  <c r="N42" i="38"/>
  <c r="O42" i="38"/>
  <c r="G42" i="38"/>
  <c r="N46" i="38"/>
  <c r="O46" i="38"/>
  <c r="G46" i="38"/>
  <c r="N49" i="38"/>
  <c r="O49" i="38"/>
  <c r="G49" i="38"/>
  <c r="N62" i="38"/>
  <c r="O62" i="38"/>
  <c r="G62" i="38"/>
  <c r="N71" i="38"/>
  <c r="O71" i="38"/>
  <c r="G71" i="38"/>
  <c r="N96" i="38"/>
  <c r="O96" i="38"/>
  <c r="G96" i="38"/>
  <c r="N122" i="38"/>
  <c r="O122" i="38"/>
  <c r="N111" i="38"/>
  <c r="O111" i="38"/>
  <c r="G111" i="38"/>
  <c r="G122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9" i="38"/>
  <c r="H40" i="38"/>
  <c r="H41" i="38"/>
  <c r="H43" i="38"/>
  <c r="H44" i="38"/>
  <c r="H45" i="38"/>
  <c r="H47" i="38"/>
  <c r="H48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3" i="38"/>
  <c r="H64" i="38"/>
  <c r="H65" i="38"/>
  <c r="H66" i="38"/>
  <c r="H67" i="38"/>
  <c r="H68" i="38"/>
  <c r="H69" i="38"/>
  <c r="H70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84" i="38"/>
  <c r="H85" i="38"/>
  <c r="H86" i="38"/>
  <c r="H87" i="38"/>
  <c r="H88" i="38"/>
  <c r="H89" i="38"/>
  <c r="H90" i="38"/>
  <c r="H91" i="38"/>
  <c r="H92" i="38"/>
  <c r="H93" i="38"/>
  <c r="H94" i="38"/>
  <c r="H95" i="38"/>
  <c r="H97" i="38"/>
  <c r="H98" i="38"/>
  <c r="H99" i="38"/>
  <c r="H100" i="38"/>
  <c r="H101" i="38"/>
  <c r="H102" i="38"/>
  <c r="H103" i="38"/>
  <c r="H104" i="38"/>
  <c r="H105" i="38"/>
  <c r="H106" i="38"/>
  <c r="H107" i="38"/>
  <c r="H108" i="38"/>
  <c r="H109" i="38"/>
  <c r="H110" i="38"/>
  <c r="H112" i="38"/>
  <c r="H113" i="38"/>
  <c r="H114" i="38"/>
  <c r="H115" i="38"/>
  <c r="H116" i="38"/>
  <c r="H117" i="38"/>
  <c r="H118" i="38"/>
  <c r="H119" i="38"/>
  <c r="H121" i="38"/>
  <c r="H123" i="38"/>
  <c r="H124" i="38"/>
  <c r="H125" i="38"/>
  <c r="H126" i="38"/>
  <c r="H127" i="38"/>
  <c r="H6" i="38"/>
  <c r="I122" i="38" l="1"/>
  <c r="T38" i="32"/>
  <c r="I39" i="38"/>
  <c r="U17" i="32"/>
  <c r="I17" i="38"/>
  <c r="H42" i="38"/>
  <c r="H38" i="38"/>
  <c r="H46" i="38"/>
  <c r="H122" i="38"/>
  <c r="H5" i="38"/>
  <c r="H96" i="38"/>
  <c r="H71" i="38"/>
  <c r="H62" i="38"/>
  <c r="H49" i="38"/>
  <c r="G128" i="38"/>
  <c r="H111" i="38"/>
  <c r="T46" i="32"/>
  <c r="T96" i="32"/>
  <c r="T71" i="32"/>
  <c r="T62" i="32"/>
  <c r="T42" i="32"/>
  <c r="T49" i="32"/>
  <c r="T122" i="32"/>
  <c r="T111" i="32"/>
  <c r="Y5" i="36" l="1"/>
  <c r="Y128" i="36" s="1"/>
  <c r="H128" i="38"/>
  <c r="K113" i="38"/>
  <c r="K114" i="38"/>
  <c r="K115" i="38"/>
  <c r="K116" i="38"/>
  <c r="K117" i="38"/>
  <c r="K118" i="38"/>
  <c r="K119" i="38"/>
  <c r="K112" i="38" l="1"/>
  <c r="U119" i="32"/>
  <c r="I49" i="38" l="1"/>
  <c r="L119" i="38"/>
  <c r="U117" i="32"/>
  <c r="L117" i="38"/>
  <c r="U99" i="32" l="1"/>
  <c r="U98" i="32"/>
  <c r="U100" i="32"/>
  <c r="K98" i="38" l="1"/>
  <c r="L98" i="38" s="1"/>
  <c r="K99" i="38"/>
  <c r="L99" i="38" s="1"/>
  <c r="U112" i="32" l="1"/>
  <c r="L112" i="38"/>
  <c r="U50" i="32" l="1"/>
  <c r="U51" i="32"/>
  <c r="U52" i="32"/>
  <c r="U53" i="32"/>
  <c r="L114" i="38" l="1"/>
  <c r="L115" i="38" l="1"/>
  <c r="L116" i="38"/>
  <c r="L113" i="38"/>
  <c r="L118" i="38" l="1"/>
  <c r="U114" i="32" l="1"/>
  <c r="U115" i="32"/>
  <c r="U118" i="32"/>
  <c r="U116" i="32"/>
  <c r="U113" i="32"/>
  <c r="U111" i="32" l="1"/>
  <c r="H1" i="38" l="1"/>
  <c r="K126" i="38" l="1"/>
  <c r="L126" i="38" s="1"/>
  <c r="K125" i="38"/>
  <c r="L125" i="38" s="1"/>
  <c r="K124" i="38"/>
  <c r="L124" i="38" s="1"/>
  <c r="K123" i="38" l="1"/>
  <c r="L123" i="38" s="1"/>
  <c r="U126" i="32"/>
  <c r="U123" i="32"/>
  <c r="U124" i="32"/>
  <c r="U127" i="32"/>
  <c r="U125" i="32"/>
  <c r="U107" i="32"/>
  <c r="U108" i="32"/>
  <c r="K51" i="38"/>
  <c r="K52" i="38"/>
  <c r="K53" i="38"/>
  <c r="K54" i="38"/>
  <c r="K55" i="38"/>
  <c r="K56" i="38"/>
  <c r="K57" i="38"/>
  <c r="K58" i="38"/>
  <c r="K59" i="38"/>
  <c r="K60" i="38"/>
  <c r="K61" i="38"/>
  <c r="K50" i="38" l="1"/>
  <c r="K49" i="38" s="1"/>
  <c r="K121" i="38"/>
  <c r="I111" i="38"/>
  <c r="K107" i="38"/>
  <c r="L107" i="38" s="1"/>
  <c r="K6" i="38"/>
  <c r="K108" i="38"/>
  <c r="L108" i="38" s="1"/>
  <c r="J5" i="38"/>
  <c r="U122" i="32"/>
  <c r="L121" i="38" l="1"/>
  <c r="L111" i="38" s="1"/>
  <c r="K111" i="38"/>
  <c r="K63" i="38"/>
  <c r="U70" i="32"/>
  <c r="U67" i="32"/>
  <c r="U66" i="32"/>
  <c r="U64" i="32"/>
  <c r="U68" i="32"/>
  <c r="U65" i="32"/>
  <c r="U69" i="32"/>
  <c r="K69" i="38"/>
  <c r="L6" i="38"/>
  <c r="U35" i="32"/>
  <c r="U63" i="32"/>
  <c r="K8" i="38"/>
  <c r="K12" i="38"/>
  <c r="K40" i="38"/>
  <c r="K44" i="38"/>
  <c r="L52" i="38"/>
  <c r="L53" i="38"/>
  <c r="L56" i="38"/>
  <c r="L57" i="38"/>
  <c r="L58" i="38"/>
  <c r="L60" i="38"/>
  <c r="L61" i="38"/>
  <c r="K89" i="38"/>
  <c r="U97" i="32"/>
  <c r="K101" i="38"/>
  <c r="J1" i="38" l="1"/>
  <c r="I62" i="38"/>
  <c r="K84" i="38"/>
  <c r="L84" i="38" s="1"/>
  <c r="K67" i="38"/>
  <c r="L67" i="38" s="1"/>
  <c r="K81" i="38"/>
  <c r="L81" i="38" s="1"/>
  <c r="K43" i="38"/>
  <c r="L43" i="38" s="1"/>
  <c r="K27" i="38"/>
  <c r="L27" i="38" s="1"/>
  <c r="K65" i="38"/>
  <c r="L65" i="38" s="1"/>
  <c r="K92" i="38"/>
  <c r="L92" i="38" s="1"/>
  <c r="K47" i="38"/>
  <c r="L47" i="38" s="1"/>
  <c r="K41" i="38"/>
  <c r="L41" i="38" s="1"/>
  <c r="K23" i="38"/>
  <c r="L23" i="38" s="1"/>
  <c r="K7" i="38"/>
  <c r="K68" i="38"/>
  <c r="L68" i="38" s="1"/>
  <c r="K66" i="38"/>
  <c r="L66" i="38" s="1"/>
  <c r="K70" i="38"/>
  <c r="L70" i="38" s="1"/>
  <c r="K64" i="38"/>
  <c r="L64" i="38" s="1"/>
  <c r="K105" i="38"/>
  <c r="L105" i="38" s="1"/>
  <c r="K102" i="38"/>
  <c r="L102" i="38" s="1"/>
  <c r="K20" i="38"/>
  <c r="L20" i="38" s="1"/>
  <c r="K35" i="38"/>
  <c r="L35" i="38" s="1"/>
  <c r="L8" i="38"/>
  <c r="L54" i="38"/>
  <c r="L89" i="38"/>
  <c r="L12" i="38"/>
  <c r="L69" i="38"/>
  <c r="L40" i="38"/>
  <c r="U62" i="32"/>
  <c r="U39" i="32"/>
  <c r="L101" i="38"/>
  <c r="U104" i="32"/>
  <c r="K104" i="38"/>
  <c r="U109" i="32"/>
  <c r="U103" i="32"/>
  <c r="U110" i="32"/>
  <c r="U106" i="32"/>
  <c r="U90" i="32"/>
  <c r="U82" i="32"/>
  <c r="U74" i="32"/>
  <c r="U85" i="32"/>
  <c r="U77" i="32"/>
  <c r="U80" i="32"/>
  <c r="U76" i="32"/>
  <c r="U72" i="32"/>
  <c r="U94" i="32"/>
  <c r="U86" i="32"/>
  <c r="U78" i="32"/>
  <c r="U93" i="32"/>
  <c r="U73" i="32"/>
  <c r="K73" i="38"/>
  <c r="U88" i="32"/>
  <c r="U95" i="32"/>
  <c r="U91" i="32"/>
  <c r="U87" i="32"/>
  <c r="U83" i="32"/>
  <c r="U79" i="32"/>
  <c r="U75" i="32"/>
  <c r="L63" i="38"/>
  <c r="L51" i="38"/>
  <c r="L50" i="38"/>
  <c r="U59" i="32"/>
  <c r="L59" i="38"/>
  <c r="U55" i="32"/>
  <c r="L55" i="38"/>
  <c r="U45" i="32"/>
  <c r="I42" i="38"/>
  <c r="L44" i="38"/>
  <c r="U32" i="32"/>
  <c r="U16" i="32"/>
  <c r="U36" i="32"/>
  <c r="U31" i="32"/>
  <c r="U19" i="32"/>
  <c r="U15" i="32"/>
  <c r="U11" i="32"/>
  <c r="U37" i="32"/>
  <c r="U28" i="32"/>
  <c r="U24" i="32"/>
  <c r="U34" i="32"/>
  <c r="U30" i="32"/>
  <c r="U26" i="32"/>
  <c r="U22" i="32"/>
  <c r="U18" i="32"/>
  <c r="U14" i="32"/>
  <c r="U10" i="32"/>
  <c r="U33" i="32"/>
  <c r="U29" i="32"/>
  <c r="U25" i="32"/>
  <c r="U21" i="32"/>
  <c r="U13" i="32"/>
  <c r="U9" i="32"/>
  <c r="U48" i="32"/>
  <c r="K48" i="38"/>
  <c r="U105" i="32"/>
  <c r="U89" i="32"/>
  <c r="U81" i="32"/>
  <c r="U92" i="32"/>
  <c r="U84" i="32"/>
  <c r="Z6" i="36"/>
  <c r="Z5" i="36" s="1"/>
  <c r="Z128" i="36" s="1"/>
  <c r="U8" i="32"/>
  <c r="U58" i="32"/>
  <c r="U6" i="32"/>
  <c r="U57" i="32"/>
  <c r="U102" i="32"/>
  <c r="U61" i="32"/>
  <c r="U101" i="32"/>
  <c r="U27" i="32"/>
  <c r="U60" i="32"/>
  <c r="U41" i="32"/>
  <c r="U23" i="32"/>
  <c r="U43" i="32"/>
  <c r="U56" i="32"/>
  <c r="U44" i="32"/>
  <c r="U47" i="32"/>
  <c r="U54" i="32"/>
  <c r="U40" i="32"/>
  <c r="U20" i="32"/>
  <c r="U7" i="32"/>
  <c r="U12" i="32"/>
  <c r="T5" i="32"/>
  <c r="T128" i="32" s="1"/>
  <c r="I5" i="38" l="1"/>
  <c r="K83" i="38"/>
  <c r="L83" i="38" s="1"/>
  <c r="K88" i="38"/>
  <c r="L88" i="38" s="1"/>
  <c r="K86" i="38"/>
  <c r="L86" i="38" s="1"/>
  <c r="K85" i="38"/>
  <c r="L85" i="38" s="1"/>
  <c r="K109" i="38"/>
  <c r="L109" i="38" s="1"/>
  <c r="K9" i="38"/>
  <c r="L9" i="38" s="1"/>
  <c r="K17" i="38"/>
  <c r="L17" i="38" s="1"/>
  <c r="K25" i="38"/>
  <c r="L25" i="38" s="1"/>
  <c r="K33" i="38"/>
  <c r="L33" i="38" s="1"/>
  <c r="K14" i="38"/>
  <c r="L14" i="38" s="1"/>
  <c r="K22" i="38"/>
  <c r="L22" i="38" s="1"/>
  <c r="K30" i="38"/>
  <c r="L30" i="38" s="1"/>
  <c r="K24" i="38"/>
  <c r="L24" i="38" s="1"/>
  <c r="K37" i="38"/>
  <c r="L37" i="38" s="1"/>
  <c r="K15" i="38"/>
  <c r="L15" i="38" s="1"/>
  <c r="K31" i="38"/>
  <c r="L31" i="38" s="1"/>
  <c r="K16" i="38"/>
  <c r="L16" i="38" s="1"/>
  <c r="L49" i="38"/>
  <c r="K97" i="38"/>
  <c r="I96" i="38"/>
  <c r="K39" i="38"/>
  <c r="K38" i="38" s="1"/>
  <c r="I38" i="38"/>
  <c r="K62" i="38"/>
  <c r="K75" i="38"/>
  <c r="L75" i="38" s="1"/>
  <c r="K93" i="38"/>
  <c r="L93" i="38" s="1"/>
  <c r="K72" i="38"/>
  <c r="L72" i="38" s="1"/>
  <c r="I71" i="38"/>
  <c r="K82" i="38"/>
  <c r="L82" i="38" s="1"/>
  <c r="K106" i="38"/>
  <c r="L106" i="38" s="1"/>
  <c r="K45" i="38"/>
  <c r="K42" i="38" s="1"/>
  <c r="K79" i="38"/>
  <c r="L79" i="38" s="1"/>
  <c r="K87" i="38"/>
  <c r="L87" i="38" s="1"/>
  <c r="K95" i="38"/>
  <c r="L95" i="38" s="1"/>
  <c r="K78" i="38"/>
  <c r="L78" i="38" s="1"/>
  <c r="K94" i="38"/>
  <c r="L94" i="38" s="1"/>
  <c r="K76" i="38"/>
  <c r="L76" i="38" s="1"/>
  <c r="K77" i="38"/>
  <c r="L77" i="38" s="1"/>
  <c r="K74" i="38"/>
  <c r="L74" i="38" s="1"/>
  <c r="K90" i="38"/>
  <c r="L90" i="38" s="1"/>
  <c r="K100" i="38"/>
  <c r="L100" i="38" s="1"/>
  <c r="K103" i="38"/>
  <c r="L103" i="38" s="1"/>
  <c r="K46" i="38"/>
  <c r="K91" i="38"/>
  <c r="L91" i="38" s="1"/>
  <c r="K80" i="38"/>
  <c r="L80" i="38" s="1"/>
  <c r="K13" i="38"/>
  <c r="L13" i="38" s="1"/>
  <c r="K21" i="38"/>
  <c r="L21" i="38" s="1"/>
  <c r="K29" i="38"/>
  <c r="L29" i="38" s="1"/>
  <c r="K10" i="38"/>
  <c r="L10" i="38" s="1"/>
  <c r="K18" i="38"/>
  <c r="L18" i="38" s="1"/>
  <c r="K26" i="38"/>
  <c r="L26" i="38" s="1"/>
  <c r="K34" i="38"/>
  <c r="L34" i="38" s="1"/>
  <c r="K28" i="38"/>
  <c r="L28" i="38" s="1"/>
  <c r="K11" i="38"/>
  <c r="L11" i="38" s="1"/>
  <c r="K19" i="38"/>
  <c r="L19" i="38" s="1"/>
  <c r="K36" i="38"/>
  <c r="L36" i="38" s="1"/>
  <c r="K32" i="38"/>
  <c r="L32" i="38" s="1"/>
  <c r="L62" i="38"/>
  <c r="K110" i="38"/>
  <c r="L110" i="38" s="1"/>
  <c r="I46" i="38"/>
  <c r="U96" i="32"/>
  <c r="U5" i="32"/>
  <c r="L104" i="38"/>
  <c r="U49" i="32"/>
  <c r="L73" i="38"/>
  <c r="L7" i="38"/>
  <c r="U71" i="32"/>
  <c r="U38" i="32"/>
  <c r="U46" i="32"/>
  <c r="U42" i="32"/>
  <c r="I3" i="38" l="1"/>
  <c r="L45" i="38"/>
  <c r="L42" i="38" s="1"/>
  <c r="K127" i="38"/>
  <c r="I128" i="38"/>
  <c r="K5" i="38"/>
  <c r="K96" i="38"/>
  <c r="L71" i="38"/>
  <c r="L5" i="38"/>
  <c r="L39" i="38"/>
  <c r="L38" i="38" s="1"/>
  <c r="K71" i="38"/>
  <c r="L97" i="38"/>
  <c r="L96" i="38" s="1"/>
  <c r="U128" i="32"/>
  <c r="L48" i="38"/>
  <c r="I1" i="38" l="1"/>
  <c r="L127" i="38"/>
  <c r="L122" i="38" s="1"/>
  <c r="K122" i="38"/>
  <c r="L46" i="38"/>
  <c r="D94" i="12"/>
  <c r="D86" i="12"/>
  <c r="D75" i="12"/>
  <c r="D18" i="12"/>
  <c r="D12" i="12"/>
  <c r="D6" i="12"/>
  <c r="D5" i="12"/>
  <c r="K128" i="38" l="1"/>
  <c r="K1" i="38" s="1"/>
  <c r="L128" i="38"/>
  <c r="L1" i="38" s="1"/>
</calcChain>
</file>

<file path=xl/sharedStrings.xml><?xml version="1.0" encoding="utf-8"?>
<sst xmlns="http://schemas.openxmlformats.org/spreadsheetml/2006/main" count="1707" uniqueCount="487">
  <si>
    <t>Tên gọi</t>
  </si>
  <si>
    <t>Mã cây</t>
  </si>
  <si>
    <t>Mặt Cắt</t>
  </si>
  <si>
    <t>Khung bao cửa đi</t>
  </si>
  <si>
    <t>Khung bao cửa sổ</t>
  </si>
  <si>
    <t>Khung bao</t>
  </si>
  <si>
    <t>Đố động</t>
  </si>
  <si>
    <t>Khung bao lùa</t>
  </si>
  <si>
    <t>Cánh lùa</t>
  </si>
  <si>
    <t>I nối</t>
  </si>
  <si>
    <t>ALUK-EU C6501</t>
  </si>
  <si>
    <t>ALUK-EU C6502</t>
  </si>
  <si>
    <t>ALUK-EU C6506</t>
  </si>
  <si>
    <t>ALUK-EU C6507</t>
  </si>
  <si>
    <t>ALUK-EU C6508</t>
  </si>
  <si>
    <t>ALUK-EU C6509</t>
  </si>
  <si>
    <t>ALUK-EU C6510</t>
  </si>
  <si>
    <t>ALUK-EU C6511</t>
  </si>
  <si>
    <t>ALUK-EU C6512</t>
  </si>
  <si>
    <t>ALUK-EU C6503S</t>
  </si>
  <si>
    <t>ALUK-EU C6504S</t>
  </si>
  <si>
    <t>ALUK-EU C6505S</t>
  </si>
  <si>
    <t>Cánh cđ mở ngoài kép</t>
  </si>
  <si>
    <t>Cánh cđ mở trong kép</t>
  </si>
  <si>
    <t>Cánh cửa sổ kép</t>
  </si>
  <si>
    <t>Đố T</t>
  </si>
  <si>
    <t>Lật khung</t>
  </si>
  <si>
    <t>Chắn nước</t>
  </si>
  <si>
    <t>Quay góc</t>
  </si>
  <si>
    <t>ALUK-EU C6513</t>
  </si>
  <si>
    <t>ALUK-EU C6514</t>
  </si>
  <si>
    <t>ALUK-EU C5501</t>
  </si>
  <si>
    <t>ALUK-EU C5502</t>
  </si>
  <si>
    <t>ALUK-EU C5503S</t>
  </si>
  <si>
    <t>ALUK-EU C5504S</t>
  </si>
  <si>
    <t>ALUK-EU C5505S</t>
  </si>
  <si>
    <t>ALUK-EU C5506</t>
  </si>
  <si>
    <t>ALUK-EU C5507</t>
  </si>
  <si>
    <t>ALUK-EU C5508</t>
  </si>
  <si>
    <t>ALUK-EU C5509</t>
  </si>
  <si>
    <t>ALUK-EU C5510</t>
  </si>
  <si>
    <t>ALUK-EU C5512</t>
  </si>
  <si>
    <t>Ốp móc</t>
  </si>
  <si>
    <t>Đối đầu</t>
  </si>
  <si>
    <t>Dẫn hướng trên</t>
  </si>
  <si>
    <t>Khung bao fix</t>
  </si>
  <si>
    <t>DĐố chia fix</t>
  </si>
  <si>
    <t>ALUK-EU L9401</t>
  </si>
  <si>
    <t>ALUK-EU L9402</t>
  </si>
  <si>
    <t>ALUK-EU L9403</t>
  </si>
  <si>
    <t>ALUK-EU L9404</t>
  </si>
  <si>
    <t>ALUK-EU L9405</t>
  </si>
  <si>
    <t>ALUK-EU L9406</t>
  </si>
  <si>
    <t>ALUK-EU L9407</t>
  </si>
  <si>
    <t>ALUK-EU L9408</t>
  </si>
  <si>
    <t>ALUK-EU L9409</t>
  </si>
  <si>
    <t>ALUK-EU L9410</t>
  </si>
  <si>
    <t>Ray thấp</t>
  </si>
  <si>
    <t>Ốp bên</t>
  </si>
  <si>
    <t>Đố  T</t>
  </si>
  <si>
    <t>ALUK-EU L12001</t>
  </si>
  <si>
    <t>ALUK-EU L12002</t>
  </si>
  <si>
    <t>ALUK-EU L12003</t>
  </si>
  <si>
    <t>ALUK-EU L12004</t>
  </si>
  <si>
    <t>ALUK-EU L12005</t>
  </si>
  <si>
    <t>ALUK-EU L12006</t>
  </si>
  <si>
    <t>ALUK-EU L12007</t>
  </si>
  <si>
    <t>ALUK-EU L12008</t>
  </si>
  <si>
    <t>ALUK-EU L12009</t>
  </si>
  <si>
    <t>ALUK-EU L12010</t>
  </si>
  <si>
    <t>ALUK-EU L12011</t>
  </si>
  <si>
    <t>ALUK-EU L12012</t>
  </si>
  <si>
    <t>Khung bao lùa 3 ray</t>
  </si>
  <si>
    <t>Ray thấp 3 ray</t>
  </si>
  <si>
    <t>Dẫn hướng trên 3 ray</t>
  </si>
  <si>
    <t>Ốp đứng 3 ray</t>
  </si>
  <si>
    <t>Khung bao fix 3 ray</t>
  </si>
  <si>
    <t>Ốp móc 2 bên</t>
  </si>
  <si>
    <t>Sập cánh lưới</t>
  </si>
  <si>
    <t>Chèn lưới muỗi</t>
  </si>
  <si>
    <t>ALUK-EU L18001</t>
  </si>
  <si>
    <t>ALUK-EU L18002</t>
  </si>
  <si>
    <t>ALUK-EU L18003</t>
  </si>
  <si>
    <t>ALUK-EU L18004</t>
  </si>
  <si>
    <t>ALUK-EU L18005</t>
  </si>
  <si>
    <t>ALUK-EU L18006</t>
  </si>
  <si>
    <t>ALUK-EU L18007</t>
  </si>
  <si>
    <t>ALUK-EU L18008</t>
  </si>
  <si>
    <t>ALUK-EU L18009</t>
  </si>
  <si>
    <t>ALUK-EU L18010</t>
  </si>
  <si>
    <t>ALUK-EU L18011</t>
  </si>
  <si>
    <t>Cánh đứng</t>
  </si>
  <si>
    <t>Cánh ngang</t>
  </si>
  <si>
    <t>Ray thấp tích hợp ray inox</t>
  </si>
  <si>
    <t>Ray vát</t>
  </si>
  <si>
    <t>DĐố động</t>
  </si>
  <si>
    <t>ALUK-EU X7501</t>
  </si>
  <si>
    <t>ALUK-EU X7502</t>
  </si>
  <si>
    <t>ALUK-EU X7503</t>
  </si>
  <si>
    <t>ALUK-EU X7505</t>
  </si>
  <si>
    <t>ALUK-EU X7506</t>
  </si>
  <si>
    <t>ALUK-EU X7507</t>
  </si>
  <si>
    <t>ALUK-EU X7508</t>
  </si>
  <si>
    <t>ALUK-EU X7509</t>
  </si>
  <si>
    <t>ALUK-EU X7510</t>
  </si>
  <si>
    <t>Sập (kính 35)</t>
  </si>
  <si>
    <t>Sập (kính 15)</t>
  </si>
  <si>
    <t>Sập (kính 25)</t>
  </si>
  <si>
    <t>Sập kính hộp (kính 23)</t>
  </si>
  <si>
    <t>Sập kính thường (kính 15)</t>
  </si>
  <si>
    <t>Sập kính thường (kính 18)</t>
  </si>
  <si>
    <t>Sập kính hộp (kính 35)</t>
  </si>
  <si>
    <t>Sập kính hộp (kính 30)</t>
  </si>
  <si>
    <t>TỔNG</t>
  </si>
  <si>
    <t>TỔNG TẤT CẢ</t>
  </si>
  <si>
    <t>Ghi chú:</t>
  </si>
  <si>
    <t>VRE-Hệ 55 Mở quay</t>
  </si>
  <si>
    <t>VRE -Hệ 65 Mở quay</t>
  </si>
  <si>
    <t>VRE-Hệ lùa 94</t>
  </si>
  <si>
    <t>VRE- Hệ Lùa 120 &amp; 180</t>
  </si>
  <si>
    <t>VRE- Hệ Xếp Trượt 75</t>
  </si>
  <si>
    <t>VRA-Hệ 55 Mở quay</t>
  </si>
  <si>
    <t xml:space="preserve">Khung vách </t>
  </si>
  <si>
    <t>C3209</t>
  </si>
  <si>
    <t xml:space="preserve">Khung bao cửa sổ mở quay </t>
  </si>
  <si>
    <t>C3318</t>
  </si>
  <si>
    <t>Cây đảo khuôn bao</t>
  </si>
  <si>
    <t>C3208</t>
  </si>
  <si>
    <t>Cánh cửa sổ mở ngoài</t>
  </si>
  <si>
    <t>C3202</t>
  </si>
  <si>
    <t>C3313</t>
  </si>
  <si>
    <t>Đố tĩnh chia cánh</t>
  </si>
  <si>
    <t>C3203</t>
  </si>
  <si>
    <t>Đố động cửa sổ</t>
  </si>
  <si>
    <t>C3303</t>
  </si>
  <si>
    <t>C3033</t>
  </si>
  <si>
    <t>C3328</t>
  </si>
  <si>
    <t>Pano</t>
  </si>
  <si>
    <t>C3332</t>
  </si>
  <si>
    <t>C3304</t>
  </si>
  <si>
    <t>Đố động cửa đi</t>
  </si>
  <si>
    <t>C3323</t>
  </si>
  <si>
    <t>Ốp chân cánh cửa đi</t>
  </si>
  <si>
    <t>C3329</t>
  </si>
  <si>
    <t>Nẹp kính đơn &gt;12mm</t>
  </si>
  <si>
    <t>C3295</t>
  </si>
  <si>
    <t>Nẹp kính khung bao</t>
  </si>
  <si>
    <t>C3296</t>
  </si>
  <si>
    <t>Nẹp kính hộp &gt;22mm</t>
  </si>
  <si>
    <t>C3236</t>
  </si>
  <si>
    <t>Nẹp kính hộp &gt;25mm</t>
  </si>
  <si>
    <t>C3286</t>
  </si>
  <si>
    <t>Sập kính hộp cho khung &gt; 21mm</t>
  </si>
  <si>
    <t>C3225</t>
  </si>
  <si>
    <t>Thanh chuyển góc 90 độ</t>
  </si>
  <si>
    <t>C3326</t>
  </si>
  <si>
    <t>Thanh tăng cứng vách và cửa</t>
  </si>
  <si>
    <t>C3310</t>
  </si>
  <si>
    <t>C3300</t>
  </si>
  <si>
    <t>F077</t>
  </si>
  <si>
    <t>Ngưỡng cửa đi</t>
  </si>
  <si>
    <t>Khung chớp</t>
  </si>
  <si>
    <t>Nan chớp</t>
  </si>
  <si>
    <t>C3319</t>
  </si>
  <si>
    <t>E1283</t>
  </si>
  <si>
    <t>E192</t>
  </si>
  <si>
    <t>Cây chuyển góc 135 độ</t>
  </si>
  <si>
    <t>C910</t>
  </si>
  <si>
    <t xml:space="preserve">VRA-Hệ 64 Cửa sổ lùa </t>
  </si>
  <si>
    <t>Khung cửa lùa</t>
  </si>
  <si>
    <t>Cánh cửa lùa</t>
  </si>
  <si>
    <t>Ốp móc cửa lùa</t>
  </si>
  <si>
    <t xml:space="preserve">Đối đầu </t>
  </si>
  <si>
    <t xml:space="preserve">VRA-Hệ 95 Cửa đi lùa </t>
  </si>
  <si>
    <t>D9302</t>
  </si>
  <si>
    <t>D9502</t>
  </si>
  <si>
    <t>D9521</t>
  </si>
  <si>
    <t>D9301B</t>
  </si>
  <si>
    <t>D9306B</t>
  </si>
  <si>
    <t>D9307</t>
  </si>
  <si>
    <t>Hèm đối đầu</t>
  </si>
  <si>
    <t>Bịt khung</t>
  </si>
  <si>
    <t>D9303</t>
  </si>
  <si>
    <t>D9303B</t>
  </si>
  <si>
    <t>Dẫn hướng</t>
  </si>
  <si>
    <t>D9305</t>
  </si>
  <si>
    <t>D9302B</t>
  </si>
  <si>
    <t xml:space="preserve">Khung fix </t>
  </si>
  <si>
    <t>D9519</t>
  </si>
  <si>
    <t>Nẹp sập khung nhỏ</t>
  </si>
  <si>
    <t>D9304</t>
  </si>
  <si>
    <t>Cánh cửa đi mở trong</t>
  </si>
  <si>
    <t>Cánh cửa đi mở ngoài</t>
  </si>
  <si>
    <t>Đố ngang dưới cánh cửa đi</t>
  </si>
  <si>
    <t>Đố tĩnh chia Khung cửa sổ</t>
  </si>
  <si>
    <t>Nẹp khung fix cửa lùa</t>
  </si>
  <si>
    <t>C101</t>
  </si>
  <si>
    <t>Thanh ghép 2mm</t>
  </si>
  <si>
    <t>Ngày 13  thàng 07 năm 2021</t>
  </si>
  <si>
    <r>
      <rPr>
        <b/>
        <sz val="12"/>
        <rFont val="Times New Roman"/>
        <family val="1"/>
      </rPr>
      <t>Đại diện Văn Phòng</t>
    </r>
    <r>
      <rPr>
        <sz val="12"/>
        <rFont val="Times New Roman"/>
        <family val="1"/>
      </rPr>
      <t xml:space="preserve">
</t>
    </r>
  </si>
  <si>
    <r>
      <rPr>
        <b/>
        <sz val="12"/>
        <rFont val="Times New Roman"/>
        <family val="1"/>
      </rPr>
      <t>Đại diện Xưởng</t>
    </r>
    <r>
      <rPr>
        <sz val="12"/>
        <rFont val="Times New Roman"/>
        <family val="1"/>
      </rPr>
      <t xml:space="preserve">
</t>
    </r>
  </si>
  <si>
    <t xml:space="preserve">         Hà Nội, Ngày 13 tháng 07 năm 2021</t>
  </si>
  <si>
    <t xml:space="preserve"> Bảng nhôm Nhôm Viralwindow-Màu Xám Sần</t>
  </si>
  <si>
    <t>Số lượng cây</t>
  </si>
  <si>
    <t>Khung mặt dựng</t>
  </si>
  <si>
    <t>65x90</t>
  </si>
  <si>
    <t>Giấu đố</t>
  </si>
  <si>
    <t>Cánh cửa sổ mặt dựng</t>
  </si>
  <si>
    <t>Khung cửa sổ mặt dựng</t>
  </si>
  <si>
    <t xml:space="preserve">Mặt dựng </t>
  </si>
  <si>
    <t>Nhôm hệ 65 - cũ</t>
  </si>
  <si>
    <t>Khung cửa sổ quay hệ 65</t>
  </si>
  <si>
    <t>Nẹp vách hệ 65</t>
  </si>
  <si>
    <t>Ngưỡng nhôm hệ 65</t>
  </si>
  <si>
    <t>Ốp chân cánh nhôm</t>
  </si>
  <si>
    <t>Hộp nhôm 10x20</t>
  </si>
  <si>
    <t>&gt;500</t>
  </si>
  <si>
    <t>500-1000</t>
  </si>
  <si>
    <t>1000-1500</t>
  </si>
  <si>
    <t>1500-2000</t>
  </si>
  <si>
    <t>2000-2500</t>
  </si>
  <si>
    <t>2500-3000</t>
  </si>
  <si>
    <t>3000-3500</t>
  </si>
  <si>
    <t>3500-4000</t>
  </si>
  <si>
    <t>4000-4500</t>
  </si>
  <si>
    <t>4500-5000</t>
  </si>
  <si>
    <t>Chú ý</t>
  </si>
  <si>
    <t xml:space="preserve">Ghi chú: Cây đã cắt rồi không tính là 1 cây </t>
  </si>
  <si>
    <t>TỒN ĐẦU KỲ</t>
  </si>
  <si>
    <t>Cánh cửa lùa- bản to</t>
  </si>
  <si>
    <t xml:space="preserve">Cánh cửa sổ </t>
  </si>
  <si>
    <t>B46</t>
  </si>
  <si>
    <t>Cánh cửa đi</t>
  </si>
  <si>
    <t>B45</t>
  </si>
  <si>
    <t>Chia ô nhỏ</t>
  </si>
  <si>
    <t>Q56A</t>
  </si>
  <si>
    <t xml:space="preserve">Khung cửa lùa không gân </t>
  </si>
  <si>
    <t>ALUK-EU L9401B</t>
  </si>
  <si>
    <t>ALUK-EUL9411</t>
  </si>
  <si>
    <t>ALUK-EUL9412</t>
  </si>
  <si>
    <t>ALUK-EUL9413</t>
  </si>
  <si>
    <t>TÊN GỌI</t>
  </si>
  <si>
    <t>MÃ CÂY</t>
  </si>
  <si>
    <t>MẶT CẮT</t>
  </si>
  <si>
    <t>STT</t>
  </si>
  <si>
    <t>VRA-Hệ 50</t>
  </si>
  <si>
    <t>Cánh cửa sổ mở trong kép</t>
  </si>
  <si>
    <t>Sập (kính 35) - 25</t>
  </si>
  <si>
    <t>Sập (kính 25) - 35</t>
  </si>
  <si>
    <t>Sập (kính 15) - 45</t>
  </si>
  <si>
    <t>Đối đầu - 35</t>
  </si>
  <si>
    <t>DĐố chia fix - 35</t>
  </si>
  <si>
    <t>VRA- Hệ LùaVRA94</t>
  </si>
  <si>
    <t>Cánh đi cửa lùa VRA94</t>
  </si>
  <si>
    <t>Khung cửa lùa VRA94</t>
  </si>
  <si>
    <t>Ray cửa lùa VRA94</t>
  </si>
  <si>
    <t>Đố  T - 45</t>
  </si>
  <si>
    <t>Hệ 80</t>
  </si>
  <si>
    <t>Ray nhôm bọc Inox (màu den)</t>
  </si>
  <si>
    <t>Ray Inox cho cửa lùa 94/120</t>
  </si>
  <si>
    <t>Nẹp nhựa ốp hèm 94</t>
  </si>
  <si>
    <t>Nẹp nhựa ốp miệng khoá 94</t>
  </si>
  <si>
    <t>Ray Inox cho cửa xếp trượt 75</t>
  </si>
  <si>
    <t>Nhôm Viralwindow</t>
  </si>
  <si>
    <t>XÁM SẦN</t>
  </si>
  <si>
    <t>Che chân</t>
  </si>
  <si>
    <t>Cánh cửa đi mở trong mới</t>
  </si>
  <si>
    <t>VRA55-02</t>
  </si>
  <si>
    <t>Cánh cửa đi mở ngoài mới</t>
  </si>
  <si>
    <t>VRA55-03</t>
  </si>
  <si>
    <t>Cánh cửa sổ mới</t>
  </si>
  <si>
    <t>VRA55-01</t>
  </si>
  <si>
    <t>VRA55-04</t>
  </si>
  <si>
    <t>C3303P</t>
  </si>
  <si>
    <t>C3332P</t>
  </si>
  <si>
    <t>C3304P</t>
  </si>
  <si>
    <t>C3202P</t>
  </si>
  <si>
    <t>III</t>
  </si>
  <si>
    <t>Khung cửa 94</t>
  </si>
  <si>
    <t>VRE94-01</t>
  </si>
  <si>
    <t>Cánh cửa 94</t>
  </si>
  <si>
    <t>VRE94-02</t>
  </si>
  <si>
    <t>Ray dưới 94</t>
  </si>
  <si>
    <t>VRE94-03</t>
  </si>
  <si>
    <t>Móc 94</t>
  </si>
  <si>
    <t>VRE94-04</t>
  </si>
  <si>
    <t>Fix 94</t>
  </si>
  <si>
    <t>Ốp khung bao</t>
  </si>
  <si>
    <t>VRE94-06</t>
  </si>
  <si>
    <t>Hèm 4 cánh 94</t>
  </si>
  <si>
    <t>VRE94-07</t>
  </si>
  <si>
    <t>Bắt phụ kiện 94</t>
  </si>
  <si>
    <t>Dẫn hướng trên 94</t>
  </si>
  <si>
    <t>HỆ LÙA 94 MỚI</t>
  </si>
  <si>
    <t>VRA64-01</t>
  </si>
  <si>
    <t>VRA64-02</t>
  </si>
  <si>
    <t>VRA64-03</t>
  </si>
  <si>
    <t>I</t>
  </si>
  <si>
    <t>II</t>
  </si>
  <si>
    <t>VRA50-01</t>
  </si>
  <si>
    <t>VRA50-02</t>
  </si>
  <si>
    <t xml:space="preserve">Yangly </t>
  </si>
  <si>
    <t xml:space="preserve">Chia ô nhỏ </t>
  </si>
  <si>
    <t>MÀU SẮC</t>
  </si>
  <si>
    <t>V</t>
  </si>
  <si>
    <t>VI</t>
  </si>
  <si>
    <t>VII</t>
  </si>
  <si>
    <t>Xám sần</t>
  </si>
  <si>
    <t>TỔNG CỘNG</t>
  </si>
  <si>
    <t>IX</t>
  </si>
  <si>
    <t>TỒN ĐẦU KỲ THEO 
KG</t>
  </si>
  <si>
    <t xml:space="preserve"> NHẬP </t>
  </si>
  <si>
    <t xml:space="preserve">XUẤT </t>
  </si>
  <si>
    <t>TỒN CUỐI KỲ THEO 
KG</t>
  </si>
  <si>
    <t>TỔNG NHẬP
(cây)</t>
  </si>
  <si>
    <t>Ngày</t>
  </si>
  <si>
    <t>Nhà CC</t>
  </si>
  <si>
    <t>TỔNG NHẬP THEO 
KG</t>
  </si>
  <si>
    <t>B</t>
  </si>
  <si>
    <t>4=1+2+3</t>
  </si>
  <si>
    <t>A*4*6m</t>
  </si>
  <si>
    <t>C=A*B*6m</t>
  </si>
  <si>
    <t>SO SÁNH</t>
  </si>
  <si>
    <t>TỔNG XUẤT
(cây)</t>
  </si>
  <si>
    <t>TỔNG XUẤT THEO 
KG</t>
  </si>
  <si>
    <t>ALUK-EU C6517</t>
  </si>
  <si>
    <t>ALUK-EU C6518</t>
  </si>
  <si>
    <t>A</t>
  </si>
  <si>
    <t>Khung bao cửa đi/cửa sổ</t>
  </si>
  <si>
    <t>Mạnh Quy</t>
  </si>
  <si>
    <t>SH6002</t>
  </si>
  <si>
    <t>SH6001</t>
  </si>
  <si>
    <t xml:space="preserve">Sập kính hộp </t>
  </si>
  <si>
    <t>YL6501</t>
  </si>
  <si>
    <t>YL6503</t>
  </si>
  <si>
    <t>YL6504</t>
  </si>
  <si>
    <t>YL6506</t>
  </si>
  <si>
    <t>YL6505M</t>
  </si>
  <si>
    <t>YL6511</t>
  </si>
  <si>
    <t xml:space="preserve">Sập kính đơn 5 - 10 mm </t>
  </si>
  <si>
    <t>YL6514</t>
  </si>
  <si>
    <t>YL6513</t>
  </si>
  <si>
    <t xml:space="preserve">Sập kính đơn 20 - 25 mm </t>
  </si>
  <si>
    <t xml:space="preserve">Đảo khung </t>
  </si>
  <si>
    <t xml:space="preserve">YL6505M </t>
  </si>
  <si>
    <t xml:space="preserve">Đố động dùng chung </t>
  </si>
  <si>
    <t xml:space="preserve">YL6507 </t>
  </si>
  <si>
    <t xml:space="preserve">Đố T chia fix </t>
  </si>
  <si>
    <t>YL6509</t>
  </si>
  <si>
    <t xml:space="preserve">Chuyển góc </t>
  </si>
  <si>
    <t>YL6510</t>
  </si>
  <si>
    <t xml:space="preserve">Khung bao đứng </t>
  </si>
  <si>
    <t xml:space="preserve">YL12001 </t>
  </si>
  <si>
    <t xml:space="preserve">Ray dưới cửa đi lùa </t>
  </si>
  <si>
    <t xml:space="preserve">YL12002 </t>
  </si>
  <si>
    <t xml:space="preserve">YL12003 </t>
  </si>
  <si>
    <t xml:space="preserve">Ốp khung bao đứng trong </t>
  </si>
  <si>
    <t xml:space="preserve">YL12004 </t>
  </si>
  <si>
    <t xml:space="preserve">YL12005 </t>
  </si>
  <si>
    <t xml:space="preserve">Ốp khung bao đứng ngoài  </t>
  </si>
  <si>
    <t xml:space="preserve">YL12006 </t>
  </si>
  <si>
    <t>YL12007</t>
  </si>
  <si>
    <t xml:space="preserve">Đối đầu ( Hèm cửa ) </t>
  </si>
  <si>
    <t>YL12008</t>
  </si>
  <si>
    <t xml:space="preserve">Khung bao vách </t>
  </si>
  <si>
    <t>YL12009</t>
  </si>
  <si>
    <t>YL12010</t>
  </si>
  <si>
    <t xml:space="preserve">Đố  T chia vách </t>
  </si>
  <si>
    <t>SH001</t>
  </si>
  <si>
    <t>SH002</t>
  </si>
  <si>
    <t>Sập kính thường kính 16 mm</t>
  </si>
  <si>
    <t>SD6003</t>
  </si>
  <si>
    <t>Sập kính hộp kính 25 mm</t>
  </si>
  <si>
    <t xml:space="preserve">Sập kính đơn 12 mm </t>
  </si>
  <si>
    <t xml:space="preserve">Khung bao đứng 3 ray </t>
  </si>
  <si>
    <t>YL18001</t>
  </si>
  <si>
    <t xml:space="preserve">Khung ngang dưới 3 ray </t>
  </si>
  <si>
    <t>YL18006</t>
  </si>
  <si>
    <t xml:space="preserve">Nối dẫn hướng trên 3 ray </t>
  </si>
  <si>
    <t>YL18004</t>
  </si>
  <si>
    <t xml:space="preserve">Nối ốp khung bao đứng trong </t>
  </si>
  <si>
    <t>YL18002</t>
  </si>
  <si>
    <t xml:space="preserve">Nối ốp khung bao đứng ngoài </t>
  </si>
  <si>
    <t>YL18007</t>
  </si>
  <si>
    <t xml:space="preserve">Nối khung bao vách </t>
  </si>
  <si>
    <t>YL18005</t>
  </si>
  <si>
    <t>YL18003</t>
  </si>
  <si>
    <t xml:space="preserve">Ốp móc cánh đôi </t>
  </si>
  <si>
    <t>YL18008</t>
  </si>
  <si>
    <t xml:space="preserve">Nắp ốp móc cửa lùa </t>
  </si>
  <si>
    <t>TQ-011</t>
  </si>
  <si>
    <t xml:space="preserve">Ray inox cửa lùa </t>
  </si>
  <si>
    <t>10.8x5</t>
  </si>
  <si>
    <t>14x5</t>
  </si>
  <si>
    <t>LIN DT21</t>
  </si>
  <si>
    <t xml:space="preserve">Sập kính vách 94 </t>
  </si>
  <si>
    <t>Nẹp kính hộp cho VRA55 cánh cửa sổ mới</t>
  </si>
  <si>
    <t>TỶ TRỌNG THÔ</t>
  </si>
  <si>
    <t>C22900</t>
  </si>
  <si>
    <t>VRE- Hệ Xếp trượt 80</t>
  </si>
  <si>
    <t>FD-YL01</t>
  </si>
  <si>
    <t>FD-YL02</t>
  </si>
  <si>
    <t>FD-YL03</t>
  </si>
  <si>
    <t>FD-YL04</t>
  </si>
  <si>
    <t>FD-YL05</t>
  </si>
  <si>
    <t>FD-YL06</t>
  </si>
  <si>
    <t>FD-YL07</t>
  </si>
  <si>
    <t>FD-YL08</t>
  </si>
  <si>
    <t>Khung bao hệ xếp trượt</t>
  </si>
  <si>
    <t>Cánh hệ xếp trượt</t>
  </si>
  <si>
    <t>Hèm khóa hệ xếp trượt</t>
  </si>
  <si>
    <t>Máng ray dưới hệ xếp trượt</t>
  </si>
  <si>
    <t>Nẹp chặn cánh</t>
  </si>
  <si>
    <t>Ốp đáy cánh</t>
  </si>
  <si>
    <t>Ốp cánh chẵn</t>
  </si>
  <si>
    <t>LIN H17</t>
  </si>
  <si>
    <t>AL5506</t>
  </si>
  <si>
    <t>YLCF-S55</t>
  </si>
  <si>
    <t>Sập vát cạnh (dùng cho Fix 94)</t>
  </si>
  <si>
    <t>MẶT DỰNG</t>
  </si>
  <si>
    <t>Mặt dựng 65*80</t>
  </si>
  <si>
    <t>Nắp mặt dựng hệ 65</t>
  </si>
  <si>
    <t>Mặt dựng 65*130</t>
  </si>
  <si>
    <t>MD-N6502</t>
  </si>
  <si>
    <t>TỔNG CỘNG (2)</t>
  </si>
  <si>
    <t>TỔNG TẤT CẢ (kg)</t>
  </si>
  <si>
    <t>MD</t>
  </si>
  <si>
    <t>THỦY LỰC</t>
  </si>
  <si>
    <t>Cánh thủy lực 180</t>
  </si>
  <si>
    <t>EU TL002</t>
  </si>
  <si>
    <t>EU TL006</t>
  </si>
  <si>
    <t>Đế sập vách</t>
  </si>
  <si>
    <t>EU TL004</t>
  </si>
  <si>
    <t>Đố động cửa đi và cửa sổ nhập Yangly</t>
  </si>
  <si>
    <t>Cánh cửa sổ lộ đố</t>
  </si>
  <si>
    <t>MD CS52</t>
  </si>
  <si>
    <t>Ốp mặt dựng 65*90</t>
  </si>
  <si>
    <t>MD N6502</t>
  </si>
  <si>
    <t>Khung bao thủy lực 55X200</t>
  </si>
  <si>
    <t>YL55X200</t>
  </si>
  <si>
    <t>MD6590</t>
  </si>
  <si>
    <t>VRE94-05</t>
  </si>
  <si>
    <t>Khung bao 3 ray 94 cao</t>
  </si>
  <si>
    <t>Khung bao 3 ray 94 thap</t>
  </si>
  <si>
    <t>VRE94-01C</t>
  </si>
  <si>
    <t>VRE94-01T</t>
  </si>
  <si>
    <t>YL52X73</t>
  </si>
  <si>
    <t xml:space="preserve">C101 </t>
  </si>
  <si>
    <t xml:space="preserve">DA-TL02 </t>
  </si>
  <si>
    <t xml:space="preserve">Sập cánh TL kính hộp </t>
  </si>
  <si>
    <t>Sập cánh TL kính đơn</t>
  </si>
  <si>
    <t xml:space="preserve">DA-TL03 </t>
  </si>
  <si>
    <t xml:space="preserve">Sập đế vách kính đơn </t>
  </si>
  <si>
    <t xml:space="preserve">Sập đế vách kính hộp </t>
  </si>
  <si>
    <t xml:space="preserve">C102 </t>
  </si>
  <si>
    <t>tồn kho kiểm ngày 18.11 (cây)</t>
  </si>
  <si>
    <t>Thanh chuyển góc 90 độ (góc vát)</t>
  </si>
  <si>
    <t>2 cây cũ</t>
  </si>
  <si>
    <t>4 cây cũ</t>
  </si>
  <si>
    <t>YL: 1</t>
  </si>
  <si>
    <t>CŨ: 2</t>
  </si>
  <si>
    <t>Đế sập vách (Đế thủy lực)</t>
  </si>
  <si>
    <t>Sập cánh thủy lực</t>
  </si>
  <si>
    <t>Mặt dựng 65*90</t>
  </si>
  <si>
    <t>Mặt dựng 52*73</t>
  </si>
  <si>
    <t>GHI CHÚ</t>
  </si>
  <si>
    <t>ĐÔNG ÂU</t>
  </si>
  <si>
    <t>18/11</t>
  </si>
  <si>
    <t>ĐL Dũng Lâm</t>
  </si>
  <si>
    <t>20/11</t>
  </si>
  <si>
    <t>SK94</t>
  </si>
  <si>
    <t>SCTL</t>
  </si>
  <si>
    <t>Chú Thiện - Nam Định</t>
  </si>
  <si>
    <t>19/11</t>
  </si>
  <si>
    <t>24/11</t>
  </si>
  <si>
    <t>Yangly</t>
  </si>
  <si>
    <t>25/11</t>
  </si>
  <si>
    <t>TỒN BÊN KHO YANGLY</t>
  </si>
  <si>
    <t>TỒN CUỐI KỲ VIRAL
(cây)</t>
  </si>
  <si>
    <t>Xuất nhôm Anh Long - Phú Thọ</t>
  </si>
  <si>
    <t>27/11</t>
  </si>
  <si>
    <t>TỔNG CÂY</t>
  </si>
  <si>
    <t>TỔNG SỐ CÂY NHẬP</t>
  </si>
  <si>
    <t>Anh Vũ - Mỹ Đình( dự bị xuất)</t>
  </si>
  <si>
    <t>DAV51</t>
  </si>
  <si>
    <t>Đế vách cố định</t>
  </si>
  <si>
    <t>Mái Thuận Hường BỔ 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</si>
</sst>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&quot;£&quot;#,##0;[Red]\-&quot;£&quot;#,##0"/>
    <numFmt numFmtId="166" formatCode="_-* #,##0_-;\-* #,##0_-;_-* &quot;-&quot;_-;_-@_-"/>
    <numFmt numFmtId="167" formatCode="_-* #,##0.00_-;\-* #,##0.00_-;_-* &quot;-&quot;??_-;_-@_-"/>
    <numFmt numFmtId="168" formatCode="#,##0.0"/>
    <numFmt numFmtId="169" formatCode="0.000"/>
    <numFmt numFmtId="170" formatCode="_(* #,##0_);_(* \(#,##0\);_(* &quot;-&quot;??_);_(@_)"/>
    <numFmt numFmtId="171" formatCode="#,##0.0;[Red]\-#,##0.0"/>
    <numFmt numFmtId="172" formatCode="&quot;\&quot;#,##0.00;[Red]&quot;\&quot;&quot;\&quot;&quot;\&quot;&quot;\&quot;&quot;\&quot;&quot;\&quot;\-#,##0.00"/>
    <numFmt numFmtId="173" formatCode="_-* #,##0\ _F_-;\-* #,##0\ _F_-;_-* &quot;-&quot;\ _F_-;_-@_-"/>
    <numFmt numFmtId="174" formatCode="&quot;\&quot;#,##0;[Red]&quot;\&quot;&quot;\&quot;\-#,##0"/>
    <numFmt numFmtId="175" formatCode="_ * #,##0.00_ ;_ * \-#,##0.00_ ;_ * &quot;-&quot;??_ ;_ @_ 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&quot;\&quot;#,##0.00;[Red]&quot;\&quot;\-#,##0.00"/>
    <numFmt numFmtId="179" formatCode="_-&quot;Rp&quot;* #,##0_-;\-&quot;Rp&quot;* #,##0_-;_-&quot;Rp&quot;* &quot;-&quot;_-;_-@_-"/>
    <numFmt numFmtId="180" formatCode="&quot;\&quot;#,##0;[Red]&quot;\&quot;\-#,##0"/>
    <numFmt numFmtId="181" formatCode="_-&quot;Rp&quot;* #,##0.00_-;\-&quot;Rp&quot;* #,##0.00_-;_-&quot;Rp&quot;* &quot;-&quot;??_-;_-@_-"/>
    <numFmt numFmtId="182" formatCode="_-* #,##0&quot;Rp&quot;_-;_-* #,##0&quot;Rp&quot;\-;_-* &quot;-&quot;&quot;Rp&quot;_-;_-@_-"/>
    <numFmt numFmtId="183" formatCode="_-* #,##0\ &quot;F&quot;_-;\-* #,##0\ &quot;F&quot;_-;_-* &quot;-&quot;\ &quot;F&quot;_-;_-@_-"/>
    <numFmt numFmtId="184" formatCode="_-* #,##0\ &quot;Rp&quot;_-;\-* #,##0\ &quot;Rp&quot;_-;_-* &quot;-&quot;\ &quot;Rp&quot;_-;_-@_-"/>
    <numFmt numFmtId="185" formatCode="_-&quot;ñ&quot;* #,##0_-;\-&quot;ñ&quot;* #,##0_-;_-&quot;ñ&quot;* &quot;-&quot;_-;_-@_-"/>
    <numFmt numFmtId="186" formatCode="_-* #,##0.00_$_-;_-* #,##0.00_$\-;_-* &quot;-&quot;??_$_-;_-@_-"/>
    <numFmt numFmtId="187" formatCode="_-* #,##0.00\ _V_N_D_-;\-* #,##0.00\ _V_N_D_-;_-* &quot;-&quot;??\ _V_N_D_-;_-@_-"/>
    <numFmt numFmtId="188" formatCode="_-* #,##0.00\ _F_-;\-* #,##0.00\ _F_-;_-* &quot;-&quot;??\ _F_-;_-@_-"/>
    <numFmt numFmtId="189" formatCode="_-* #,##0.00\ _V_N_Ñ_-;_-* #,##0.00\ _V_N_Ñ\-;_-* &quot;-&quot;??\ _V_N_Ñ_-;_-@_-"/>
    <numFmt numFmtId="190" formatCode="_-* #,##0.00\ _ñ_-;\-* #,##0.00\ _ñ_-;_-* &quot;-&quot;??\ _ñ_-;_-@_-"/>
    <numFmt numFmtId="191" formatCode="_(&quot;Rp&quot;\ * #,##0_);_(&quot;Rp&quot;\ * \(#,##0\);_(&quot;Rp&quot;\ * &quot;-&quot;_);_(@_)"/>
    <numFmt numFmtId="192" formatCode="_-* #,##0\ &quot;ñ&quot;_-;\-* #,##0\ &quot;ñ&quot;_-;_-* &quot;-&quot;\ &quot;ñ&quot;_-;_-@_-"/>
    <numFmt numFmtId="193" formatCode="_-* #,##0_$_-;_-* #,##0_$\-;_-* &quot;-&quot;_$_-;_-@_-"/>
    <numFmt numFmtId="194" formatCode="_ * #,##0_ ;_ * \-#,##0_ ;_ * &quot;-&quot;_ ;_ @_ "/>
    <numFmt numFmtId="195" formatCode="_-* #,##0\ _V_N_D_-;\-* #,##0\ _V_N_D_-;_-* &quot;-&quot;\ _V_N_D_-;_-@_-"/>
    <numFmt numFmtId="196" formatCode="_-* #,##0\ _V_N_Ñ_-;_-* #,##0\ _V_N_Ñ\-;_-* &quot;-&quot;\ _V_N_Ñ_-;_-@_-"/>
    <numFmt numFmtId="197" formatCode="_-* #,##0\ _$_-;\-* #,##0\ _$_-;_-* &quot;-&quot;\ _$_-;_-@_-"/>
    <numFmt numFmtId="198" formatCode="_-* #,##0\ _ñ_-;\-* #,##0\ _ñ_-;_-* &quot;-&quot;\ _ñ_-;_-@_-"/>
    <numFmt numFmtId="199" formatCode="_-* #,##0\ _B_F_-;\-* #,##0\ _B_F_-;_-* &quot;-&quot;\ _B_F_-;_-@_-"/>
    <numFmt numFmtId="200" formatCode="0%;\(0%\)"/>
    <numFmt numFmtId="201" formatCode="0.0%"/>
    <numFmt numFmtId="202" formatCode="&quot;SFr.&quot;\ #,##0.00;[Red]&quot;SFr.&quot;\ \-#,##0.00"/>
    <numFmt numFmtId="203" formatCode="_ &quot;SFr.&quot;\ * #,##0_ ;_ &quot;SFr.&quot;\ * \-#,##0_ ;_ &quot;SFr.&quot;\ * &quot;-&quot;_ ;_ @_ "/>
    <numFmt numFmtId="204" formatCode="_ &quot;\&quot;* #,##0.00_ ;_ &quot;\&quot;* \-#,##0.00_ ;_ &quot;\&quot;* &quot;-&quot;??_ ;_ @_ "/>
    <numFmt numFmtId="205" formatCode="#,##0.0_);\(#,##0.0\)"/>
    <numFmt numFmtId="206" formatCode="_(* #,##0.0000_);_(* \(#,##0.0000\);_(* &quot;-&quot;??_);_(@_)"/>
    <numFmt numFmtId="207" formatCode="0.0%;[Red]\(0.0%\)"/>
    <numFmt numFmtId="208" formatCode="_ * #,##0.00_)&quot;£&quot;_ ;_ * \(#,##0.00\)&quot;£&quot;_ ;_ * &quot;-&quot;??_)&quot;£&quot;_ ;_ @_ "/>
    <numFmt numFmtId="209" formatCode="0.0%;\(0.0%\)"/>
    <numFmt numFmtId="210" formatCode="_-* #,##0.00\ &quot;F&quot;_-;\-* #,##0.00\ &quot;F&quot;_-;_-* &quot;-&quot;??\ &quot;F&quot;_-;_-@_-"/>
    <numFmt numFmtId="211" formatCode="0.000_)"/>
    <numFmt numFmtId="212" formatCode="#,##0;\(#,##0\)"/>
    <numFmt numFmtId="213" formatCode="&quot;Rp&quot;#,##0_);\(&quot;Rp&quot;#,##0\)"/>
    <numFmt numFmtId="214" formatCode="&quot;Rp&quot;#,##0.00_);\(&quot;Rp&quot;#,##0.00\)"/>
    <numFmt numFmtId="215" formatCode="\$#,##0\ ;\(\$#,##0\)"/>
    <numFmt numFmtId="216" formatCode="\t0.00%"/>
    <numFmt numFmtId="217" formatCode="\U\S\$#,##0.00;\(\U\S\$#,##0.00\)"/>
    <numFmt numFmtId="218" formatCode="_-* #,##0\ _D_M_-;\-* #,##0\ _D_M_-;_-* &quot;-&quot;\ _D_M_-;_-@_-"/>
    <numFmt numFmtId="219" formatCode="_-* #,##0.00\ _D_M_-;\-* #,##0.00\ _D_M_-;_-* &quot;-&quot;??\ _D_M_-;_-@_-"/>
    <numFmt numFmtId="220" formatCode="\t#\ ??/??"/>
    <numFmt numFmtId="221" formatCode="_([$€-2]* #,##0.00_);_([$€-2]* \(#,##0.00\);_([$€-2]* &quot;-&quot;??_)"/>
    <numFmt numFmtId="222" formatCode="#,##0;\(#,##0\);&quot;-&quot;"/>
    <numFmt numFmtId="223" formatCode="0."/>
    <numFmt numFmtId="224" formatCode="_(* #,##0.000000_);_(* \(#,##0.000000\);_(* &quot;-&quot;??_);_(@_)"/>
    <numFmt numFmtId="225" formatCode=";;;"/>
    <numFmt numFmtId="226" formatCode="#,###"/>
    <numFmt numFmtId="227" formatCode="#,##0\ &quot;Rp&quot;_);[Red]\(#,##0\ &quot;Rp&quot;\)"/>
    <numFmt numFmtId="228" formatCode="&quot;Rp&quot;###,0&quot;.&quot;00_);[Red]\(&quot;Rp&quot;###,0&quot;.&quot;00\)"/>
    <numFmt numFmtId="229" formatCode="&quot;\&quot;#,##0;[Red]\-&quot;\&quot;#,##0"/>
    <numFmt numFmtId="230" formatCode="&quot;\&quot;#,##0.00;\-&quot;\&quot;#,##0.00"/>
    <numFmt numFmtId="231" formatCode="*x"/>
    <numFmt numFmtId="232" formatCode="0.00_)"/>
    <numFmt numFmtId="233" formatCode="_-* #,##0.00\ _m_k_-;\-* #,##0.00\ _m_k_-;_-* &quot;-&quot;??\ _m_k_-;_-@_-"/>
    <numFmt numFmtId="234" formatCode="_-* #,##0\ _m_k_-;\-* #,##0\ _m_k_-;_-* &quot;-&quot;\ _m_k_-;_-@_-"/>
    <numFmt numFmtId="235" formatCode="#,##0.000_);\(#,##0.000\)"/>
    <numFmt numFmtId="236" formatCode="###0.00000000_);[Red]\(###0.00000000\)"/>
    <numFmt numFmtId="237" formatCode="_-* #,##0\ _€_-;\-* #,##0\ _€_-;_-* &quot;-&quot;\ _€_-;_-@_-"/>
    <numFmt numFmtId="238" formatCode="_ * #,##0_-_V_N_Ñ_ ;_ * #,##0\-_V_N_Ñ_ ;_ * &quot;-&quot;_-_V_N_Ñ_ ;_ @_ "/>
    <numFmt numFmtId="239" formatCode="_ * #,##0_)\ _$_ ;_ * \(#,##0\)\ _$_ ;_ * &quot;-&quot;_)\ _$_ ;_ @_ "/>
    <numFmt numFmtId="240" formatCode="_-* #,##0\ &quot;€&quot;_-;\-* #,##0\ &quot;€&quot;_-;_-* &quot;-&quot;\ &quot;€&quot;_-;_-@_-"/>
    <numFmt numFmtId="241" formatCode="_ * #,##0_)\ &quot;Rp&quot;_ ;_ * \(#,##0\)\ &quot;Rp&quot;_ ;_ * &quot;-&quot;_)\ &quot;Rp&quot;_ ;_ @_ "/>
    <numFmt numFmtId="242" formatCode="_ * #,##0_)\ &quot;€&quot;_ ;_ * \(#,##0\)\ &quot;€&quot;_ ;_ * &quot;-&quot;_)\ &quot;€&quot;_ ;_ @_ "/>
    <numFmt numFmtId="243" formatCode="_(&quot;€&quot;\ * #,##0_);_(&quot;€&quot;\ * \(#,##0\);_(&quot;€&quot;\ * &quot;-&quot;_);_(@_)"/>
    <numFmt numFmtId="244" formatCode="#,##0.00\ &quot;F&quot;;[Red]\-#,##0.00\ &quot;F&quot;"/>
    <numFmt numFmtId="245" formatCode="#,##0\ &quot;F&quot;;\-#,##0\ &quot;F&quot;"/>
    <numFmt numFmtId="246" formatCode="#,##0\ &quot;F&quot;;[Red]\-#,##0\ &quot;F&quot;"/>
    <numFmt numFmtId="247" formatCode="0000"/>
    <numFmt numFmtId="248" formatCode="00"/>
    <numFmt numFmtId="249" formatCode="000"/>
    <numFmt numFmtId="250" formatCode="#,##0.00\ &quot;F&quot;;\-#,##0.00\ &quot;F&quot;"/>
    <numFmt numFmtId="251" formatCode="&quot;Rp&quot;#,##0_);[Red]\(&quot;Rp&quot;#,##0\)"/>
    <numFmt numFmtId="252" formatCode="_-* #,##0\ &quot;DM&quot;_-;\-* #,##0\ &quot;DM&quot;_-;_-* &quot;-&quot;\ &quot;DM&quot;_-;_-@_-"/>
    <numFmt numFmtId="253" formatCode="_-* #,##0.00\ &quot;DM&quot;_-;\-* #,##0.00\ &quot;DM&quot;_-;_-* &quot;-&quot;??\ &quot;DM&quot;_-;_-@_-"/>
    <numFmt numFmtId="254" formatCode="&quot;\&quot;#,##0;&quot;\&quot;&quot;\&quot;&quot;\&quot;&quot;\&quot;\-#,##0"/>
    <numFmt numFmtId="255" formatCode="#,##0;[Red]&quot;-&quot;#,##0"/>
    <numFmt numFmtId="256" formatCode="&quot;\&quot;#,##0;[Red]&quot;\&quot;&quot;\&quot;&quot;\&quot;&quot;\&quot;\-#,##0"/>
    <numFmt numFmtId="257" formatCode="0.00000"/>
    <numFmt numFmtId="258" formatCode="#,##0.0_ "/>
    <numFmt numFmtId="259" formatCode="&quot;\&quot;#,##0.00;&quot;\&quot;&quot;\&quot;&quot;\&quot;&quot;\&quot;\-#,##0.00"/>
    <numFmt numFmtId="260" formatCode="_(* #,##0.0_);_(* \(#,##0.0\);_(* &quot;-&quot;??_);_(@_)"/>
    <numFmt numFmtId="261" formatCode="_(* #,##0.0_);_(* \(#,##0.0\);_(* &quot;-&quot;?_);_(@_)"/>
  </numFmts>
  <fonts count="188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u/>
      <sz val="12"/>
      <name val="Times New Roman"/>
      <family val="1"/>
    </font>
    <font>
      <sz val="10"/>
      <name val=".VnArial"/>
      <family val="2"/>
    </font>
    <font>
      <i/>
      <sz val="12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2"/>
      <name val="VNtimes new roman"/>
      <family val="2"/>
    </font>
    <font>
      <sz val="10"/>
      <name val="VNI-Times"/>
    </font>
    <font>
      <sz val="16"/>
      <name val="AngsanaUPC"/>
      <family val="3"/>
    </font>
    <font>
      <sz val="12"/>
      <name val="????"/>
      <family val="1"/>
      <charset val="136"/>
    </font>
    <font>
      <sz val="11"/>
      <name val="??"/>
      <family val="3"/>
      <charset val="129"/>
    </font>
    <font>
      <sz val="12"/>
      <name val="???"/>
      <family val="1"/>
      <charset val="129"/>
    </font>
    <font>
      <sz val="12"/>
      <name val="|??¢¥¢¬¨Ï"/>
      <family val="1"/>
      <charset val="129"/>
    </font>
    <font>
      <sz val="12"/>
      <name val="__"/>
      <family val="1"/>
      <charset val="129"/>
    </font>
    <font>
      <sz val="14"/>
      <name val="__"/>
      <family val="3"/>
      <charset val="129"/>
    </font>
    <font>
      <sz val="12"/>
      <name val="___"/>
      <family val="1"/>
      <charset val="129"/>
    </font>
    <font>
      <sz val="12"/>
      <name val="____"/>
      <charset val="136"/>
    </font>
    <font>
      <sz val="10"/>
      <name val="___"/>
      <family val="3"/>
      <charset val="129"/>
    </font>
    <font>
      <sz val="12"/>
      <name val="___"/>
      <family val="3"/>
    </font>
    <font>
      <sz val="10"/>
      <name val="Helv"/>
      <family val="2"/>
    </font>
    <font>
      <sz val="10"/>
      <name val="MS Sans Serif"/>
      <family val="2"/>
    </font>
    <font>
      <sz val="10"/>
      <name val=".VnTime"/>
      <family val="2"/>
    </font>
    <font>
      <sz val="12"/>
      <name val="VNTime"/>
    </font>
    <font>
      <sz val="12"/>
      <name val="VNI-Times"/>
    </font>
    <font>
      <sz val="14"/>
      <name val="‚l‚r –¾’©"/>
      <family val="1"/>
      <charset val="128"/>
    </font>
    <font>
      <u/>
      <sz val="8.25"/>
      <color indexed="36"/>
      <name val="‚l‚r ‚oƒSƒVƒbƒN"/>
      <family val="3"/>
      <charset val="128"/>
    </font>
    <font>
      <sz val="14"/>
      <name val="lr ¾©"/>
      <family val="1"/>
      <charset val="128"/>
    </font>
    <font>
      <sz val="13"/>
      <name val="Tms Rmn"/>
      <family val="1"/>
    </font>
    <font>
      <b/>
      <u/>
      <sz val="14"/>
      <color indexed="8"/>
      <name val=".VnBook-AntiquaH"/>
      <family val="2"/>
    </font>
    <font>
      <sz val="10"/>
      <name val="VnTimes"/>
      <family val="2"/>
    </font>
    <font>
      <sz val="12"/>
      <color indexed="10"/>
      <name val=".VnArial Narrow"/>
      <family val="2"/>
    </font>
    <font>
      <sz val="12"/>
      <color indexed="8"/>
      <name val="¹ÙÅÁÃ¼"/>
      <family val="1"/>
      <charset val="129"/>
    </font>
    <font>
      <i/>
      <sz val="12"/>
      <color indexed="8"/>
      <name val=".VnBook-AntiquaH"/>
      <family val="2"/>
    </font>
    <font>
      <sz val="11"/>
      <color indexed="8"/>
      <name val="Calibri"/>
      <family val="2"/>
      <charset val="22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1"/>
      <color indexed="9"/>
      <name val="Calibri"/>
      <family val="2"/>
      <charset val="22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¹ÙÅÁÃ¼"/>
      <charset val="129"/>
    </font>
    <font>
      <sz val="9"/>
      <name val="ＭＳ ゴシック"/>
      <family val="3"/>
      <charset val="128"/>
    </font>
    <font>
      <sz val="8"/>
      <name val="Times New Roman"/>
      <family val="1"/>
    </font>
    <font>
      <sz val="12"/>
      <name val="Tms Rmn"/>
    </font>
    <font>
      <sz val="10"/>
      <name val="Times New Roman"/>
      <family val="1"/>
    </font>
    <font>
      <sz val="11"/>
      <name val="µ¸¿ò"/>
      <charset val="129"/>
    </font>
    <font>
      <sz val="10"/>
      <name val="Helv"/>
    </font>
    <font>
      <b/>
      <sz val="10"/>
      <name val="Helv"/>
    </font>
    <font>
      <b/>
      <sz val="13"/>
      <name val="Tms Rmn"/>
      <family val="1"/>
    </font>
    <font>
      <sz val="11"/>
      <name val="Tms Rmn"/>
    </font>
    <font>
      <sz val="11"/>
      <name val="VNI-Times"/>
    </font>
    <font>
      <sz val="10"/>
      <name val="MS Serif"/>
      <family val="1"/>
    </font>
    <font>
      <sz val="10"/>
      <name val="Courier"/>
      <family val="3"/>
    </font>
    <font>
      <sz val="10"/>
      <name val="VNI-Aptima"/>
    </font>
    <font>
      <sz val="10"/>
      <color indexed="8"/>
      <name val="Arial"/>
      <family val="2"/>
    </font>
    <font>
      <sz val="12"/>
      <name val="Arial"/>
      <family val="2"/>
    </font>
    <font>
      <sz val="12"/>
      <name val="Tms Rmn"/>
      <family val="1"/>
    </font>
    <font>
      <sz val="10"/>
      <color indexed="16"/>
      <name val="MS Serif"/>
      <family val="1"/>
    </font>
    <font>
      <sz val="8"/>
      <name val="Verdana"/>
      <family val="2"/>
    </font>
    <font>
      <b/>
      <sz val="16"/>
      <name val="Arial"/>
      <family val="2"/>
    </font>
    <font>
      <sz val="18"/>
      <color indexed="24"/>
      <name val="Times New Roman"/>
      <family val="1"/>
    </font>
    <font>
      <sz val="8"/>
      <color indexed="24"/>
      <name val="Times New Roman"/>
      <family val="1"/>
    </font>
    <font>
      <i/>
      <sz val="12"/>
      <color indexed="24"/>
      <name val="Times New Roman"/>
      <family val="1"/>
    </font>
    <font>
      <sz val="12"/>
      <color indexed="24"/>
      <name val="Arial"/>
      <family val="2"/>
    </font>
    <font>
      <sz val="12"/>
      <color indexed="24"/>
      <name val="Times New Roman"/>
      <family val="1"/>
    </font>
    <font>
      <sz val="8"/>
      <color indexed="24"/>
      <name val="Arial"/>
      <family val="2"/>
    </font>
    <font>
      <i/>
      <sz val="12"/>
      <color indexed="24"/>
      <name val="Arial"/>
      <family val="2"/>
    </font>
    <font>
      <u/>
      <sz val="8.25"/>
      <color indexed="12"/>
      <name val="‚l‚r ‚oƒSƒVƒbƒN"/>
      <family val="3"/>
      <charset val="128"/>
    </font>
    <font>
      <sz val="8"/>
      <name val="Arial"/>
      <family val="2"/>
    </font>
    <font>
      <b/>
      <sz val="12"/>
      <name val=".VnBook-AntiquaH"/>
      <family val="2"/>
    </font>
    <font>
      <b/>
      <sz val="12"/>
      <color indexed="9"/>
      <name val="Tms Rmn"/>
    </font>
    <font>
      <b/>
      <sz val="12"/>
      <name val="Helv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Tahoma"/>
      <family val="2"/>
    </font>
    <font>
      <b/>
      <sz val="8"/>
      <name val="MS Sans Serif"/>
      <family val="2"/>
    </font>
    <font>
      <b/>
      <sz val="10"/>
      <name val=".VnTime"/>
      <family val="2"/>
    </font>
    <font>
      <b/>
      <sz val="14"/>
      <name val=".VnTimeH"/>
      <family val="2"/>
    </font>
    <font>
      <sz val="10"/>
      <name val="Tahoma"/>
      <family val="2"/>
    </font>
    <font>
      <sz val="12"/>
      <name val="Helv"/>
    </font>
    <font>
      <sz val="12"/>
      <color indexed="9"/>
      <name val="Helv"/>
    </font>
    <font>
      <b/>
      <sz val="11"/>
      <name val="Helv"/>
    </font>
    <font>
      <sz val="10"/>
      <name val=".VnAvant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</font>
    <font>
      <sz val="12"/>
      <name val="바탕체"/>
      <family val="1"/>
      <charset val="129"/>
    </font>
    <font>
      <sz val="11"/>
      <name val="Arial MT"/>
    </font>
    <font>
      <sz val="14"/>
      <name val="System"/>
      <family val="2"/>
    </font>
    <font>
      <b/>
      <sz val="11"/>
      <name val="Arial"/>
      <family val="2"/>
    </font>
    <font>
      <sz val="13"/>
      <name val=".VnTime"/>
      <family val="2"/>
    </font>
    <font>
      <sz val="12"/>
      <name val="Helv"/>
      <family val="2"/>
    </font>
    <font>
      <sz val="10"/>
      <color indexed="9"/>
      <name val="Arial"/>
      <family val="2"/>
    </font>
    <font>
      <b/>
      <sz val="10"/>
      <name val="MS Sans Serif"/>
      <family val="2"/>
    </font>
    <font>
      <sz val="8"/>
      <name val="Wingdings"/>
      <charset val="2"/>
    </font>
    <font>
      <b/>
      <sz val="12"/>
      <color indexed="9"/>
      <name val="Arial"/>
      <family val="2"/>
    </font>
    <font>
      <b/>
      <sz val="12"/>
      <name val="宋体"/>
      <charset val="134"/>
    </font>
    <font>
      <sz val="8"/>
      <name val="MS Sans Serif"/>
      <family val="2"/>
    </font>
    <font>
      <sz val="11"/>
      <color indexed="32"/>
      <name val="VNI-Times"/>
    </font>
    <font>
      <b/>
      <sz val="14"/>
      <color indexed="8"/>
      <name val=".VnArial"/>
      <family val="2"/>
    </font>
    <font>
      <b/>
      <sz val="10"/>
      <color indexed="8"/>
      <name val="Tahoma"/>
      <family val="2"/>
    </font>
    <font>
      <b/>
      <sz val="12"/>
      <color indexed="8"/>
      <name val="Tahoma"/>
      <family val="2"/>
    </font>
    <font>
      <sz val="10"/>
      <color indexed="8"/>
      <name val=".VnArial"/>
      <family val="2"/>
    </font>
    <font>
      <b/>
      <i/>
      <sz val="10"/>
      <color indexed="8"/>
      <name val="Arial"/>
      <family val="2"/>
    </font>
    <font>
      <b/>
      <sz val="10"/>
      <name val="Tahoma"/>
      <family val="2"/>
    </font>
    <font>
      <b/>
      <sz val="8"/>
      <color indexed="8"/>
      <name val="Helv"/>
    </font>
    <font>
      <sz val="10"/>
      <name val="Symbol"/>
      <family val="1"/>
      <charset val="2"/>
    </font>
    <font>
      <sz val="14"/>
      <name val=".VnTime"/>
      <family val="2"/>
    </font>
    <font>
      <b/>
      <sz val="11"/>
      <name val="Times New Roman"/>
      <family val="1"/>
    </font>
    <font>
      <sz val="12"/>
      <name val="VNTime"/>
      <family val="2"/>
    </font>
    <font>
      <sz val="12"/>
      <name val=".VnArial"/>
      <family val="2"/>
    </font>
    <font>
      <sz val="10"/>
      <name val="VNtimes new roman"/>
      <family val="2"/>
    </font>
    <font>
      <b/>
      <sz val="8"/>
      <name val="VN Helvetica"/>
    </font>
    <font>
      <sz val="9"/>
      <name val=".VnTime"/>
      <family val="2"/>
    </font>
    <font>
      <b/>
      <sz val="12"/>
      <name val=".VnTime"/>
      <family val="2"/>
    </font>
    <font>
      <b/>
      <sz val="10"/>
      <name val="VN AvantGBook"/>
    </font>
    <font>
      <b/>
      <sz val="16"/>
      <name val=".VnTime"/>
      <family val="2"/>
    </font>
    <font>
      <sz val="14"/>
      <name val=".VnArial"/>
      <family val="2"/>
    </font>
    <font>
      <sz val="22"/>
      <name val="ＭＳ 明朝"/>
      <family val="1"/>
      <charset val="128"/>
    </font>
    <font>
      <b/>
      <sz val="11"/>
      <color indexed="9"/>
      <name val="Calibri"/>
      <family val="2"/>
      <charset val="222"/>
    </font>
    <font>
      <sz val="11"/>
      <color indexed="52"/>
      <name val="Calibri"/>
      <family val="2"/>
      <charset val="222"/>
    </font>
    <font>
      <sz val="11"/>
      <color indexed="20"/>
      <name val="Calibri"/>
      <family val="2"/>
      <charset val="222"/>
    </font>
    <font>
      <b/>
      <sz val="11"/>
      <color indexed="63"/>
      <name val="Calibri"/>
      <family val="2"/>
      <charset val="222"/>
    </font>
    <font>
      <b/>
      <sz val="11"/>
      <color indexed="52"/>
      <name val="Calibri"/>
      <family val="2"/>
      <charset val="222"/>
    </font>
    <font>
      <sz val="11"/>
      <color indexed="10"/>
      <name val="Calibri"/>
      <family val="2"/>
      <charset val="222"/>
    </font>
    <font>
      <i/>
      <sz val="11"/>
      <color indexed="23"/>
      <name val="Calibri"/>
      <family val="2"/>
      <charset val="222"/>
    </font>
    <font>
      <b/>
      <sz val="18"/>
      <color indexed="56"/>
      <name val="Cambria"/>
      <family val="2"/>
      <charset val="222"/>
    </font>
    <font>
      <sz val="11"/>
      <color indexed="17"/>
      <name val="Calibri"/>
      <family val="2"/>
      <charset val="222"/>
    </font>
    <font>
      <sz val="11"/>
      <color indexed="62"/>
      <name val="Calibri"/>
      <family val="2"/>
      <charset val="222"/>
    </font>
    <font>
      <sz val="11"/>
      <color indexed="60"/>
      <name val="Calibri"/>
      <family val="2"/>
      <charset val="222"/>
    </font>
    <font>
      <b/>
      <sz val="11"/>
      <color indexed="8"/>
      <name val="Calibri"/>
      <family val="2"/>
      <charset val="222"/>
    </font>
    <font>
      <sz val="14"/>
      <name val="Cordia New"/>
      <family val="2"/>
    </font>
    <font>
      <b/>
      <sz val="15"/>
      <color indexed="56"/>
      <name val="Calibri"/>
      <family val="2"/>
      <charset val="222"/>
    </font>
    <font>
      <b/>
      <sz val="13"/>
      <color indexed="56"/>
      <name val="Calibri"/>
      <family val="2"/>
      <charset val="222"/>
    </font>
    <font>
      <b/>
      <sz val="11"/>
      <color indexed="56"/>
      <name val="Calibri"/>
      <family val="2"/>
      <charset val="222"/>
    </font>
    <font>
      <sz val="10"/>
      <name val=" "/>
      <family val="1"/>
      <charset val="136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2"/>
      <color indexed="8"/>
      <name val="바탕체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VNI-Centur"/>
      <family val="1"/>
    </font>
    <font>
      <sz val="12"/>
      <name val="굴림체"/>
      <family val="3"/>
      <charset val="129"/>
    </font>
    <font>
      <sz val="12"/>
      <name val="宋体"/>
      <family val="3"/>
      <charset val="134"/>
    </font>
    <font>
      <u/>
      <sz val="10"/>
      <color indexed="14"/>
      <name val="MS Sans Serif"/>
      <family val="2"/>
    </font>
    <font>
      <u/>
      <sz val="9"/>
      <color indexed="36"/>
      <name val="新細明體"/>
      <family val="1"/>
      <charset val="136"/>
    </font>
    <font>
      <sz val="12"/>
      <name val="新細明體"/>
      <family val="1"/>
      <charset val="136"/>
    </font>
    <font>
      <sz val="12"/>
      <name val="宋体"/>
      <charset val="134"/>
    </font>
    <font>
      <sz val="12"/>
      <name val="Courier"/>
      <family val="3"/>
    </font>
    <font>
      <u/>
      <sz val="10"/>
      <color indexed="12"/>
      <name val="MS Sans Serif"/>
      <family val="2"/>
    </font>
    <font>
      <u/>
      <sz val="9"/>
      <color indexed="1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u/>
      <sz val="12"/>
      <color indexed="36"/>
      <name val="新細明體"/>
      <family val="1"/>
      <charset val="136"/>
    </font>
    <font>
      <sz val="10"/>
      <name val="明朝"/>
      <family val="1"/>
      <charset val="128"/>
    </font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name val="Arial"/>
      <family val="2"/>
      <charset val="163"/>
    </font>
    <font>
      <sz val="11"/>
      <color theme="1"/>
      <name val="Calibri"/>
      <family val="3"/>
      <charset val="134"/>
      <scheme val="minor"/>
    </font>
    <font>
      <b/>
      <sz val="18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12"/>
      <color rgb="FFFF0000"/>
      <name val="Swis721 BT"/>
      <family val="2"/>
    </font>
  </fonts>
  <fills count="5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Vertical"/>
    </fill>
    <fill>
      <patternFill patternType="solid">
        <fgColor indexed="63"/>
      </patternFill>
    </fill>
    <fill>
      <patternFill patternType="solid">
        <fgColor indexed="35"/>
        <bgColor indexed="64"/>
      </patternFill>
    </fill>
    <fill>
      <patternFill patternType="gray125">
        <fgColor indexed="35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1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0"/>
      </right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44"/>
      </bottom>
      <diagonal/>
    </border>
    <border>
      <left/>
      <right/>
      <top style="hair">
        <color indexed="44"/>
      </top>
      <bottom style="hair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902">
    <xf numFmtId="0" fontId="0" fillId="0" borderId="0"/>
    <xf numFmtId="43" fontId="13" fillId="0" borderId="0" applyFont="0" applyFill="0" applyBorder="0" applyAlignment="0" applyProtection="0"/>
    <xf numFmtId="171" fontId="1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38" fontId="22" fillId="0" borderId="0" applyFont="0" applyFill="0" applyBorder="0" applyAlignment="0" applyProtection="0"/>
    <xf numFmtId="170" fontId="23" fillId="0" borderId="6" applyFont="0" applyBorder="0"/>
    <xf numFmtId="172" fontId="17" fillId="0" borderId="0" applyFont="0" applyFill="0" applyBorder="0" applyAlignment="0" applyProtection="0"/>
    <xf numFmtId="173" fontId="24" fillId="0" borderId="0" applyFont="0" applyFill="0" applyBorder="0" applyAlignment="0" applyProtection="0"/>
    <xf numFmtId="174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175" fontId="11" fillId="0" borderId="0" applyFont="0" applyFill="0" applyBorder="0" applyAlignment="0" applyProtection="0"/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25" fillId="0" borderId="0"/>
    <xf numFmtId="166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9" fillId="0" borderId="0"/>
    <xf numFmtId="0" fontId="17" fillId="0" borderId="0" applyNumberFormat="0" applyFill="0" applyBorder="0" applyAlignment="0" applyProtection="0"/>
    <xf numFmtId="0" fontId="30" fillId="0" borderId="0"/>
    <xf numFmtId="0" fontId="31" fillId="0" borderId="0" applyFont="0" applyFill="0" applyBorder="0" applyAlignment="0" applyProtection="0"/>
    <xf numFmtId="174" fontId="17" fillId="0" borderId="0" applyFont="0" applyFill="0" applyBorder="0" applyAlignment="0" applyProtection="0"/>
    <xf numFmtId="178" fontId="32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34" fillId="0" borderId="0"/>
    <xf numFmtId="166" fontId="33" fillId="0" borderId="0" applyFon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9" fontId="35" fillId="0" borderId="0" applyFont="0" applyFill="0" applyBorder="0" applyAlignment="0" applyProtection="0"/>
    <xf numFmtId="167" fontId="33" fillId="0" borderId="0" applyFont="0" applyFill="0" applyBorder="0" applyAlignment="0" applyProtection="0"/>
    <xf numFmtId="172" fontId="17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3" fillId="0" borderId="0"/>
    <xf numFmtId="181" fontId="33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1" fillId="0" borderId="0" applyFont="0" applyFill="0" applyBorder="0" applyAlignment="0" applyProtection="0"/>
    <xf numFmtId="0" fontId="36" fillId="0" borderId="0"/>
    <xf numFmtId="176" fontId="2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7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82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84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182" fontId="2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8" fillId="0" borderId="0" applyNumberForma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2" fontId="24" fillId="0" borderId="0" applyFont="0" applyFill="0" applyBorder="0" applyAlignment="0" applyProtection="0"/>
    <xf numFmtId="179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9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86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66" fontId="40" fillId="0" borderId="0" applyFont="0" applyFill="0" applyBorder="0" applyAlignment="0" applyProtection="0"/>
    <xf numFmtId="182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84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67" fontId="40" fillId="0" borderId="0" applyFont="0" applyFill="0" applyBorder="0" applyAlignment="0" applyProtection="0"/>
    <xf numFmtId="193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73" fontId="40" fillId="0" borderId="0" applyFont="0" applyFill="0" applyBorder="0" applyAlignment="0" applyProtection="0"/>
    <xf numFmtId="19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84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166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93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73" fontId="40" fillId="0" borderId="0" applyFont="0" applyFill="0" applyBorder="0" applyAlignment="0" applyProtection="0"/>
    <xf numFmtId="19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66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9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2" fontId="2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0" fontId="36" fillId="0" borderId="0"/>
    <xf numFmtId="18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92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6" fontId="40" fillId="0" borderId="0" applyFont="0" applyFill="0" applyBorder="0" applyAlignment="0" applyProtection="0"/>
    <xf numFmtId="193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73" fontId="40" fillId="0" borderId="0" applyFont="0" applyFill="0" applyBorder="0" applyAlignment="0" applyProtection="0"/>
    <xf numFmtId="19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6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188" fontId="24" fillId="0" borderId="0" applyFont="0" applyFill="0" applyBorder="0" applyAlignment="0" applyProtection="0"/>
    <xf numFmtId="190" fontId="24" fillId="0" borderId="0" applyFont="0" applyFill="0" applyBorder="0" applyAlignment="0" applyProtection="0"/>
    <xf numFmtId="179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179" fontId="40" fillId="0" borderId="0" applyFont="0" applyFill="0" applyBorder="0" applyAlignment="0" applyProtection="0"/>
    <xf numFmtId="185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6" fillId="0" borderId="0"/>
    <xf numFmtId="0" fontId="36" fillId="0" borderId="0"/>
    <xf numFmtId="0" fontId="41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7" fillId="0" borderId="0"/>
    <xf numFmtId="37" fontId="43" fillId="0" borderId="0"/>
    <xf numFmtId="200" fontId="44" fillId="0" borderId="0" applyFont="0" applyFill="0" applyBorder="0" applyAlignment="0" applyProtection="0"/>
    <xf numFmtId="201" fontId="44" fillId="0" borderId="0" applyFont="0" applyFill="0" applyBorder="0" applyAlignment="0" applyProtection="0"/>
    <xf numFmtId="10" fontId="44" fillId="0" borderId="0" applyFont="0" applyFill="0" applyBorder="0" applyAlignment="0" applyProtection="0"/>
    <xf numFmtId="0" fontId="45" fillId="6" borderId="0"/>
    <xf numFmtId="0" fontId="46" fillId="0" borderId="0"/>
    <xf numFmtId="0" fontId="47" fillId="7" borderId="8" applyFont="0" applyFill="0" applyAlignment="0">
      <alignment vertical="center" wrapText="1"/>
    </xf>
    <xf numFmtId="9" fontId="48" fillId="0" borderId="0" applyBorder="0" applyAlignment="0" applyProtection="0"/>
    <xf numFmtId="0" fontId="49" fillId="6" borderId="0"/>
    <xf numFmtId="0" fontId="50" fillId="8" borderId="0" applyNumberFormat="0" applyBorder="0" applyAlignment="0" applyProtection="0"/>
    <xf numFmtId="0" fontId="50" fillId="9" borderId="0" applyNumberFormat="0" applyBorder="0" applyAlignment="0" applyProtection="0"/>
    <xf numFmtId="0" fontId="50" fillId="10" borderId="0" applyNumberFormat="0" applyBorder="0" applyAlignment="0" applyProtection="0"/>
    <xf numFmtId="0" fontId="50" fillId="11" borderId="0" applyNumberFormat="0" applyBorder="0" applyAlignment="0" applyProtection="0"/>
    <xf numFmtId="0" fontId="50" fillId="12" borderId="0" applyNumberFormat="0" applyBorder="0" applyAlignment="0" applyProtection="0"/>
    <xf numFmtId="0" fontId="50" fillId="13" borderId="0" applyNumberFormat="0" applyBorder="0" applyAlignment="0" applyProtection="0"/>
    <xf numFmtId="0" fontId="51" fillId="6" borderId="0"/>
    <xf numFmtId="0" fontId="52" fillId="0" borderId="0">
      <alignment wrapText="1"/>
    </xf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1" borderId="0" applyNumberFormat="0" applyBorder="0" applyAlignment="0" applyProtection="0"/>
    <xf numFmtId="0" fontId="50" fillId="14" borderId="0" applyNumberFormat="0" applyBorder="0" applyAlignment="0" applyProtection="0"/>
    <xf numFmtId="0" fontId="50" fillId="17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53" fillId="18" borderId="0" applyNumberFormat="0" applyBorder="0" applyAlignment="0" applyProtection="0"/>
    <xf numFmtId="0" fontId="53" fillId="15" borderId="0" applyNumberFormat="0" applyBorder="0" applyAlignment="0" applyProtection="0"/>
    <xf numFmtId="0" fontId="53" fillId="16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9" fontId="24" fillId="0" borderId="9">
      <alignment horizontal="center"/>
    </xf>
    <xf numFmtId="37" fontId="17" fillId="26" borderId="10" applyFill="0" applyBorder="0" applyAlignment="0" applyProtection="0"/>
    <xf numFmtId="202" fontId="17" fillId="0" borderId="0" applyFont="0" applyFill="0" applyBorder="0" applyAlignment="0" applyProtection="0"/>
    <xf numFmtId="0" fontId="54" fillId="0" borderId="0" applyFont="0" applyFill="0" applyBorder="0" applyAlignment="0" applyProtection="0"/>
    <xf numFmtId="178" fontId="55" fillId="0" borderId="0" applyFont="0" applyFill="0" applyBorder="0" applyAlignment="0" applyProtection="0"/>
    <xf numFmtId="203" fontId="17" fillId="0" borderId="0" applyFont="0" applyFill="0" applyBorder="0" applyAlignment="0" applyProtection="0"/>
    <xf numFmtId="0" fontId="54" fillId="0" borderId="0" applyFont="0" applyFill="0" applyBorder="0" applyAlignment="0" applyProtection="0"/>
    <xf numFmtId="204" fontId="56" fillId="0" borderId="0" applyFont="0" applyFill="0" applyBorder="0" applyAlignment="0" applyProtection="0"/>
    <xf numFmtId="0" fontId="57" fillId="0" borderId="11" applyFont="0" applyFill="0" applyBorder="0" applyAlignment="0" applyProtection="0">
      <alignment horizontal="center" vertical="center"/>
    </xf>
    <xf numFmtId="0" fontId="20" fillId="0" borderId="12" applyNumberFormat="0" applyFill="0" applyBorder="0" applyProtection="0">
      <alignment vertical="center"/>
    </xf>
    <xf numFmtId="0" fontId="58" fillId="0" borderId="0">
      <alignment horizontal="center" wrapText="1"/>
      <protection locked="0"/>
    </xf>
    <xf numFmtId="194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194" fontId="56" fillId="0" borderId="0" applyFont="0" applyFill="0" applyBorder="0" applyAlignment="0" applyProtection="0"/>
    <xf numFmtId="175" fontId="56" fillId="0" borderId="0" applyFont="0" applyFill="0" applyBorder="0" applyAlignment="0" applyProtection="0"/>
    <xf numFmtId="0" fontId="54" fillId="0" borderId="0" applyFont="0" applyFill="0" applyBorder="0" applyAlignment="0" applyProtection="0"/>
    <xf numFmtId="175" fontId="56" fillId="0" borderId="0" applyFont="0" applyFill="0" applyBorder="0" applyAlignment="0" applyProtection="0"/>
    <xf numFmtId="179" fontId="40" fillId="0" borderId="0" applyFont="0" applyFill="0" applyBorder="0" applyAlignment="0" applyProtection="0"/>
    <xf numFmtId="168" fontId="17" fillId="0" borderId="1">
      <alignment wrapText="1"/>
      <protection locked="0"/>
    </xf>
    <xf numFmtId="0" fontId="59" fillId="0" borderId="0" applyNumberFormat="0" applyFill="0" applyBorder="0" applyAlignment="0" applyProtection="0"/>
    <xf numFmtId="0" fontId="54" fillId="0" borderId="0"/>
    <xf numFmtId="0" fontId="60" fillId="0" borderId="0"/>
    <xf numFmtId="0" fontId="54" fillId="0" borderId="0"/>
    <xf numFmtId="0" fontId="61" fillId="0" borderId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0" fontId="17" fillId="0" borderId="0" applyFill="0" applyBorder="0" applyAlignment="0"/>
    <xf numFmtId="205" fontId="62" fillId="0" borderId="0" applyFill="0" applyBorder="0" applyAlignment="0"/>
    <xf numFmtId="206" fontId="62" fillId="0" borderId="0" applyFill="0" applyBorder="0" applyAlignment="0"/>
    <xf numFmtId="207" fontId="62" fillId="0" borderId="0" applyFill="0" applyBorder="0" applyAlignment="0"/>
    <xf numFmtId="208" fontId="17" fillId="0" borderId="0" applyFill="0" applyBorder="0" applyAlignment="0"/>
    <xf numFmtId="208" fontId="17" fillId="0" borderId="0" applyFill="0" applyBorder="0" applyAlignment="0"/>
    <xf numFmtId="208" fontId="17" fillId="0" borderId="0" applyFill="0" applyBorder="0" applyAlignment="0"/>
    <xf numFmtId="208" fontId="17" fillId="0" borderId="0" applyFill="0" applyBorder="0" applyAlignment="0"/>
    <xf numFmtId="208" fontId="17" fillId="0" borderId="0" applyFill="0" applyBorder="0" applyAlignment="0"/>
    <xf numFmtId="181" fontId="62" fillId="0" borderId="0" applyFill="0" applyBorder="0" applyAlignment="0"/>
    <xf numFmtId="209" fontId="62" fillId="0" borderId="0" applyFill="0" applyBorder="0" applyAlignment="0"/>
    <xf numFmtId="205" fontId="62" fillId="0" borderId="0" applyFill="0" applyBorder="0" applyAlignment="0"/>
    <xf numFmtId="0" fontId="63" fillId="0" borderId="0"/>
    <xf numFmtId="210" fontId="24" fillId="0" borderId="0" applyFont="0" applyFill="0" applyBorder="0" applyAlignment="0" applyProtection="0"/>
    <xf numFmtId="1" fontId="69" fillId="0" borderId="15" applyBorder="0"/>
    <xf numFmtId="0" fontId="64" fillId="0" borderId="5" applyNumberFormat="0" applyFill="0" applyProtection="0">
      <alignment horizontal="center"/>
    </xf>
    <xf numFmtId="211" fontId="65" fillId="0" borderId="0"/>
    <xf numFmtId="211" fontId="65" fillId="0" borderId="0"/>
    <xf numFmtId="211" fontId="65" fillId="0" borderId="0"/>
    <xf numFmtId="211" fontId="65" fillId="0" borderId="0"/>
    <xf numFmtId="211" fontId="65" fillId="0" borderId="0"/>
    <xf numFmtId="211" fontId="65" fillId="0" borderId="0"/>
    <xf numFmtId="211" fontId="65" fillId="0" borderId="0"/>
    <xf numFmtId="211" fontId="65" fillId="0" borderId="0"/>
    <xf numFmtId="0" fontId="66" fillId="0" borderId="1"/>
    <xf numFmtId="41" fontId="17" fillId="0" borderId="0"/>
    <xf numFmtId="41" fontId="17" fillId="0" borderId="0"/>
    <xf numFmtId="41" fontId="17" fillId="0" borderId="0"/>
    <xf numFmtId="41" fontId="17" fillId="0" borderId="0"/>
    <xf numFmtId="41" fontId="17" fillId="0" borderId="0"/>
    <xf numFmtId="181" fontId="62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3" fillId="0" borderId="0" applyFont="0" applyFill="0" applyBorder="0" applyAlignment="0" applyProtection="0"/>
    <xf numFmtId="212" fontId="60" fillId="0" borderId="0"/>
    <xf numFmtId="37" fontId="44" fillId="0" borderId="0" applyFont="0" applyFill="0" applyBorder="0" applyAlignment="0" applyProtection="0"/>
    <xf numFmtId="205" fontId="44" fillId="0" borderId="0" applyFont="0" applyFill="0" applyBorder="0" applyAlignment="0" applyProtection="0"/>
    <xf numFmtId="39" fontId="44" fillId="0" borderId="0" applyFont="0" applyFill="0" applyBorder="0" applyAlignment="0" applyProtection="0"/>
    <xf numFmtId="3" fontId="17" fillId="0" borderId="0" applyFont="0" applyFill="0" applyBorder="0" applyAlignment="0" applyProtection="0"/>
    <xf numFmtId="37" fontId="17" fillId="6" borderId="10" applyFill="0" applyBorder="0" applyAlignment="0" applyProtection="0"/>
    <xf numFmtId="0" fontId="67" fillId="0" borderId="0" applyNumberFormat="0" applyAlignment="0">
      <alignment horizontal="left"/>
    </xf>
    <xf numFmtId="0" fontId="68" fillId="0" borderId="0" applyNumberFormat="0" applyAlignment="0"/>
    <xf numFmtId="205" fontId="62" fillId="0" borderId="0" applyFont="0" applyFill="0" applyBorder="0" applyAlignment="0" applyProtection="0"/>
    <xf numFmtId="213" fontId="44" fillId="0" borderId="0" applyFont="0" applyFill="0" applyBorder="0" applyAlignment="0" applyProtection="0"/>
    <xf numFmtId="214" fontId="44" fillId="0" borderId="0" applyFont="0" applyFill="0" applyBorder="0" applyAlignment="0" applyProtection="0"/>
    <xf numFmtId="215" fontId="17" fillId="0" borderId="0" applyFont="0" applyFill="0" applyBorder="0" applyAlignment="0" applyProtection="0"/>
    <xf numFmtId="216" fontId="17" fillId="0" borderId="0"/>
    <xf numFmtId="0" fontId="18" fillId="6" borderId="0" applyNumberFormat="0" applyFont="0" applyFill="0" applyBorder="0" applyProtection="0">
      <alignment horizontal="left"/>
    </xf>
    <xf numFmtId="0" fontId="17" fillId="0" borderId="0" applyFont="0" applyFill="0" applyBorder="0" applyAlignment="0" applyProtection="0"/>
    <xf numFmtId="14" fontId="70" fillId="0" borderId="0" applyFill="0" applyBorder="0" applyAlignment="0"/>
    <xf numFmtId="0" fontId="71" fillId="0" borderId="0" applyProtection="0"/>
    <xf numFmtId="217" fontId="17" fillId="0" borderId="16">
      <alignment vertical="center"/>
    </xf>
    <xf numFmtId="218" fontId="17" fillId="0" borderId="0" applyFont="0" applyFill="0" applyBorder="0" applyAlignment="0" applyProtection="0"/>
    <xf numFmtId="219" fontId="17" fillId="0" borderId="0" applyFont="0" applyFill="0" applyBorder="0" applyAlignment="0" applyProtection="0"/>
    <xf numFmtId="220" fontId="17" fillId="0" borderId="0"/>
    <xf numFmtId="3" fontId="21" fillId="0" borderId="0" applyFont="0" applyBorder="0" applyAlignment="0"/>
    <xf numFmtId="0" fontId="72" fillId="0" borderId="0" applyNumberFormat="0" applyFill="0" applyBorder="0" applyAlignment="0" applyProtection="0"/>
    <xf numFmtId="0" fontId="24" fillId="0" borderId="0"/>
    <xf numFmtId="181" fontId="62" fillId="0" borderId="0" applyFill="0" applyBorder="0" applyAlignment="0"/>
    <xf numFmtId="205" fontId="62" fillId="0" borderId="0" applyFill="0" applyBorder="0" applyAlignment="0"/>
    <xf numFmtId="181" fontId="62" fillId="0" borderId="0" applyFill="0" applyBorder="0" applyAlignment="0"/>
    <xf numFmtId="209" fontId="62" fillId="0" borderId="0" applyFill="0" applyBorder="0" applyAlignment="0"/>
    <xf numFmtId="205" fontId="62" fillId="0" borderId="0" applyFill="0" applyBorder="0" applyAlignment="0"/>
    <xf numFmtId="0" fontId="73" fillId="0" borderId="0" applyNumberFormat="0" applyAlignment="0">
      <alignment horizontal="left"/>
    </xf>
    <xf numFmtId="221" fontId="74" fillId="0" borderId="0" applyFont="0" applyFill="0" applyBorder="0" applyAlignment="0" applyProtection="0"/>
    <xf numFmtId="222" fontId="75" fillId="0" borderId="0"/>
    <xf numFmtId="3" fontId="21" fillId="0" borderId="0" applyFont="0" applyBorder="0" applyAlignment="0"/>
    <xf numFmtId="0" fontId="76" fillId="0" borderId="0" applyProtection="0"/>
    <xf numFmtId="0" fontId="77" fillId="0" borderId="0" applyProtection="0"/>
    <xf numFmtId="0" fontId="78" fillId="0" borderId="0" applyProtection="0"/>
    <xf numFmtId="0" fontId="79" fillId="0" borderId="0" applyProtection="0"/>
    <xf numFmtId="0" fontId="80" fillId="0" borderId="0" applyNumberFormat="0" applyFont="0" applyFill="0" applyBorder="0" applyAlignment="0" applyProtection="0"/>
    <xf numFmtId="0" fontId="81" fillId="0" borderId="0" applyProtection="0"/>
    <xf numFmtId="0" fontId="82" fillId="0" borderId="0" applyProtection="0"/>
    <xf numFmtId="2" fontId="17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38" fontId="84" fillId="26" borderId="0" applyNumberFormat="0" applyBorder="0" applyAlignment="0" applyProtection="0"/>
    <xf numFmtId="0" fontId="85" fillId="0" borderId="0" applyNumberFormat="0" applyFont="0" applyBorder="0" applyAlignment="0">
      <alignment horizontal="left" vertical="center"/>
    </xf>
    <xf numFmtId="0" fontId="86" fillId="29" borderId="0"/>
    <xf numFmtId="0" fontId="87" fillId="0" borderId="0">
      <alignment horizontal="left"/>
    </xf>
    <xf numFmtId="0" fontId="88" fillId="0" borderId="17" applyNumberFormat="0" applyAlignment="0" applyProtection="0">
      <alignment horizontal="left" vertical="center"/>
    </xf>
    <xf numFmtId="37" fontId="89" fillId="30" borderId="0">
      <alignment vertical="center"/>
    </xf>
    <xf numFmtId="0" fontId="88" fillId="0" borderId="3">
      <alignment horizontal="left" vertical="center"/>
    </xf>
    <xf numFmtId="223" fontId="90" fillId="31" borderId="0">
      <alignment horizontal="left" vertical="top"/>
    </xf>
    <xf numFmtId="224" fontId="40" fillId="0" borderId="0">
      <protection locked="0"/>
    </xf>
    <xf numFmtId="224" fontId="40" fillId="0" borderId="0">
      <protection locked="0"/>
    </xf>
    <xf numFmtId="0" fontId="91" fillId="0" borderId="21">
      <alignment horizontal="center"/>
    </xf>
    <xf numFmtId="0" fontId="91" fillId="0" borderId="0">
      <alignment horizontal="center"/>
    </xf>
    <xf numFmtId="213" fontId="92" fillId="32" borderId="1" applyNumberFormat="0" applyAlignment="0">
      <alignment horizontal="left" vertical="top"/>
    </xf>
    <xf numFmtId="225" fontId="17" fillId="0" borderId="0" applyFont="0" applyFill="0" applyBorder="0" applyAlignment="0" applyProtection="0">
      <alignment vertical="top" wrapText="1"/>
    </xf>
    <xf numFmtId="225" fontId="57" fillId="0" borderId="0" applyFont="0" applyFill="0" applyBorder="0" applyAlignment="0" applyProtection="0">
      <alignment horizontal="center" vertical="center"/>
    </xf>
    <xf numFmtId="0" fontId="19" fillId="30" borderId="22" applyNumberFormat="0" applyFont="0" applyBorder="0" applyAlignment="0">
      <alignment vertical="center"/>
    </xf>
    <xf numFmtId="0" fontId="19" fillId="33" borderId="23" applyNumberFormat="0" applyFont="0" applyBorder="0" applyAlignment="0"/>
    <xf numFmtId="49" fontId="93" fillId="0" borderId="1">
      <alignment vertical="center"/>
    </xf>
    <xf numFmtId="41" fontId="24" fillId="0" borderId="0" applyFont="0" applyFill="0" applyBorder="0" applyAlignment="0" applyProtection="0"/>
    <xf numFmtId="0" fontId="94" fillId="31" borderId="0">
      <alignment horizontal="left" wrapText="1" indent="2"/>
    </xf>
    <xf numFmtId="10" fontId="84" fillId="26" borderId="1" applyNumberFormat="0" applyBorder="0" applyAlignment="0" applyProtection="0"/>
    <xf numFmtId="205" fontId="95" fillId="34" borderId="0"/>
    <xf numFmtId="212" fontId="17" fillId="6" borderId="23" applyFill="0" applyBorder="0" applyAlignment="0"/>
    <xf numFmtId="212" fontId="17" fillId="6" borderId="23" applyFill="0" applyBorder="0" applyAlignment="0"/>
    <xf numFmtId="212" fontId="17" fillId="6" borderId="23" applyFill="0" applyBorder="0" applyAlignment="0"/>
    <xf numFmtId="212" fontId="17" fillId="6" borderId="23" applyFill="0" applyBorder="0" applyAlignment="0"/>
    <xf numFmtId="212" fontId="17" fillId="6" borderId="23" applyFill="0" applyBorder="0" applyAlignment="0"/>
    <xf numFmtId="0" fontId="37" fillId="0" borderId="0"/>
    <xf numFmtId="37" fontId="18" fillId="0" borderId="0" applyFont="0" applyFill="0" applyBorder="0" applyAlignment="0"/>
    <xf numFmtId="0" fontId="37" fillId="0" borderId="0"/>
    <xf numFmtId="181" fontId="62" fillId="0" borderId="0" applyFill="0" applyBorder="0" applyAlignment="0"/>
    <xf numFmtId="205" fontId="62" fillId="0" borderId="0" applyFill="0" applyBorder="0" applyAlignment="0"/>
    <xf numFmtId="181" fontId="62" fillId="0" borderId="0" applyFill="0" applyBorder="0" applyAlignment="0"/>
    <xf numFmtId="209" fontId="62" fillId="0" borderId="0" applyFill="0" applyBorder="0" applyAlignment="0"/>
    <xf numFmtId="205" fontId="62" fillId="0" borderId="0" applyFill="0" applyBorder="0" applyAlignment="0"/>
    <xf numFmtId="205" fontId="96" fillId="35" borderId="0"/>
    <xf numFmtId="0" fontId="57" fillId="0" borderId="0" applyFont="0" applyFill="0" applyBorder="0" applyProtection="0">
      <alignment horizontal="center" vertical="center"/>
    </xf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97" fillId="0" borderId="21"/>
    <xf numFmtId="226" fontId="98" fillId="0" borderId="25"/>
    <xf numFmtId="179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227" fontId="37" fillId="0" borderId="0" applyFont="0" applyFill="0" applyBorder="0" applyAlignment="0" applyProtection="0"/>
    <xf numFmtId="228" fontId="37" fillId="0" borderId="0" applyFont="0" applyFill="0" applyBorder="0" applyAlignment="0" applyProtection="0"/>
    <xf numFmtId="229" fontId="17" fillId="0" borderId="0" applyFont="0" applyFill="0" applyBorder="0" applyAlignment="0" applyProtection="0"/>
    <xf numFmtId="230" fontId="17" fillId="0" borderId="0" applyFont="0" applyFill="0" applyBorder="0" applyAlignment="0" applyProtection="0"/>
    <xf numFmtId="0" fontId="71" fillId="0" borderId="0" applyNumberFormat="0" applyFont="0" applyFill="0" applyAlignment="0"/>
    <xf numFmtId="0" fontId="60" fillId="0" borderId="0"/>
    <xf numFmtId="37" fontId="99" fillId="0" borderId="0"/>
    <xf numFmtId="231" fontId="17" fillId="30" borderId="26" applyFont="0" applyBorder="0">
      <alignment horizontal="center" vertical="center"/>
    </xf>
    <xf numFmtId="0" fontId="100" fillId="0" borderId="1" applyNumberFormat="0" applyFont="0" applyFill="0" applyBorder="0" applyAlignment="0">
      <alignment horizontal="center"/>
    </xf>
    <xf numFmtId="232" fontId="101" fillId="0" borderId="0"/>
    <xf numFmtId="0" fontId="102" fillId="0" borderId="0"/>
    <xf numFmtId="0" fontId="17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37" fontId="103" fillId="0" borderId="0"/>
    <xf numFmtId="3" fontId="104" fillId="0" borderId="0" applyFont="0" applyFill="0" applyBorder="0" applyAlignment="0" applyProtection="0"/>
    <xf numFmtId="233" fontId="17" fillId="0" borderId="0" applyFont="0" applyFill="0" applyBorder="0" applyAlignment="0" applyProtection="0"/>
    <xf numFmtId="234" fontId="17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7" fillId="0" borderId="0" applyFont="0" applyFill="0" applyBorder="0" applyAlignment="0" applyProtection="0"/>
    <xf numFmtId="0" fontId="60" fillId="0" borderId="0"/>
    <xf numFmtId="3" fontId="17" fillId="6" borderId="10" applyFill="0" applyBorder="0" applyAlignment="0" applyProtection="0">
      <alignment vertical="top"/>
    </xf>
    <xf numFmtId="0" fontId="16" fillId="26" borderId="0"/>
    <xf numFmtId="0" fontId="66" fillId="0" borderId="0"/>
    <xf numFmtId="14" fontId="58" fillId="0" borderId="0">
      <alignment horizontal="center" wrapText="1"/>
      <protection locked="0"/>
    </xf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08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235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7" fillId="0" borderId="29" applyNumberFormat="0" applyBorder="0"/>
    <xf numFmtId="181" fontId="62" fillId="0" borderId="0" applyFill="0" applyBorder="0" applyAlignment="0"/>
    <xf numFmtId="205" fontId="62" fillId="0" borderId="0" applyFill="0" applyBorder="0" applyAlignment="0"/>
    <xf numFmtId="181" fontId="62" fillId="0" borderId="0" applyFill="0" applyBorder="0" applyAlignment="0"/>
    <xf numFmtId="209" fontId="62" fillId="0" borderId="0" applyFill="0" applyBorder="0" applyAlignment="0"/>
    <xf numFmtId="205" fontId="62" fillId="0" borderId="0" applyFill="0" applyBorder="0" applyAlignment="0"/>
    <xf numFmtId="0" fontId="107" fillId="0" borderId="0"/>
    <xf numFmtId="0" fontId="108" fillId="0" borderId="0" applyFont="0" applyFill="0" applyBorder="0" applyAlignment="0" applyProtection="0"/>
    <xf numFmtId="0" fontId="37" fillId="0" borderId="0" applyNumberFormat="0" applyFont="0" applyFill="0" applyBorder="0" applyAlignment="0" applyProtection="0">
      <alignment horizontal="left"/>
    </xf>
    <xf numFmtId="0" fontId="109" fillId="0" borderId="21">
      <alignment horizontal="center"/>
    </xf>
    <xf numFmtId="0" fontId="110" fillId="38" borderId="0" applyNumberFormat="0" applyFont="0" applyBorder="0" applyAlignment="0">
      <alignment horizontal="center"/>
    </xf>
    <xf numFmtId="236" fontId="17" fillId="0" borderId="0" applyNumberFormat="0" applyFill="0" applyBorder="0" applyAlignment="0" applyProtection="0">
      <alignment horizontal="left"/>
    </xf>
    <xf numFmtId="236" fontId="17" fillId="0" borderId="0" applyNumberFormat="0" applyFill="0" applyBorder="0" applyAlignment="0" applyProtection="0">
      <alignment horizontal="left"/>
    </xf>
    <xf numFmtId="236" fontId="17" fillId="0" borderId="0" applyNumberFormat="0" applyFill="0" applyBorder="0" applyAlignment="0" applyProtection="0">
      <alignment horizontal="left"/>
    </xf>
    <xf numFmtId="236" fontId="17" fillId="0" borderId="0" applyNumberFormat="0" applyFill="0" applyBorder="0" applyAlignment="0" applyProtection="0">
      <alignment horizontal="left"/>
    </xf>
    <xf numFmtId="236" fontId="17" fillId="0" borderId="0" applyNumberFormat="0" applyFill="0" applyBorder="0" applyAlignment="0" applyProtection="0">
      <alignment horizontal="left"/>
    </xf>
    <xf numFmtId="41" fontId="24" fillId="0" borderId="0" applyFont="0" applyFill="0" applyBorder="0" applyAlignment="0" applyProtection="0"/>
    <xf numFmtId="0" fontId="21" fillId="0" borderId="0" applyNumberFormat="0" applyFill="0" applyBorder="0" applyAlignment="0" applyProtection="0"/>
    <xf numFmtId="4" fontId="111" fillId="39" borderId="30" applyNumberFormat="0" applyProtection="0">
      <alignment horizontal="left" vertical="center" indent="1"/>
    </xf>
    <xf numFmtId="3" fontId="71" fillId="26" borderId="31" applyProtection="0">
      <alignment horizontal="right" vertical="center"/>
    </xf>
    <xf numFmtId="4" fontId="19" fillId="31" borderId="30" applyNumberFormat="0" applyProtection="0">
      <alignment horizontal="left" vertical="center" wrapText="1" indent="1"/>
    </xf>
    <xf numFmtId="0" fontId="110" fillId="1" borderId="3" applyNumberFormat="0" applyFont="0" applyAlignment="0">
      <alignment horizontal="center"/>
    </xf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>
      <alignment horizontal="center"/>
    </xf>
    <xf numFmtId="0" fontId="17" fillId="0" borderId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99" fontId="17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96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239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96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242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24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84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184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242" fontId="24" fillId="0" borderId="0" applyFont="0" applyFill="0" applyBorder="0" applyAlignment="0" applyProtection="0"/>
    <xf numFmtId="241" fontId="24" fillId="0" borderId="0" applyFont="0" applyFill="0" applyBorder="0" applyAlignment="0" applyProtection="0"/>
    <xf numFmtId="183" fontId="40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2" fontId="24" fillId="0" borderId="0" applyFont="0" applyFill="0" applyBorder="0" applyAlignment="0" applyProtection="0"/>
    <xf numFmtId="194" fontId="24" fillId="0" borderId="0" applyFont="0" applyFill="0" applyBorder="0" applyAlignment="0" applyProtection="0"/>
    <xf numFmtId="240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24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83" fontId="24" fillId="0" borderId="0" applyFont="0" applyFill="0" applyBorder="0" applyAlignment="0" applyProtection="0"/>
    <xf numFmtId="192" fontId="24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239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19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5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73" fontId="24" fillId="0" borderId="0" applyFont="0" applyFill="0" applyBorder="0" applyAlignment="0" applyProtection="0"/>
    <xf numFmtId="19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8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9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237" fontId="24" fillId="0" borderId="0" applyFont="0" applyFill="0" applyBorder="0" applyAlignment="0" applyProtection="0"/>
    <xf numFmtId="0" fontId="114" fillId="0" borderId="0"/>
    <xf numFmtId="0" fontId="70" fillId="0" borderId="0" applyNumberFormat="0" applyBorder="0" applyAlignment="0"/>
    <xf numFmtId="0" fontId="115" fillId="0" borderId="0" applyNumberFormat="0" applyBorder="0" applyAlignment="0"/>
    <xf numFmtId="0" fontId="116" fillId="0" borderId="0" applyNumberFormat="0" applyBorder="0" applyAlignment="0"/>
    <xf numFmtId="0" fontId="117" fillId="0" borderId="0" applyNumberFormat="0" applyBorder="0" applyAlignment="0"/>
    <xf numFmtId="0" fontId="118" fillId="0" borderId="0" applyNumberFormat="0" applyBorder="0" applyAlignment="0"/>
    <xf numFmtId="0" fontId="119" fillId="0" borderId="0" applyNumberFormat="0" applyBorder="0" applyAlignment="0"/>
    <xf numFmtId="0" fontId="97" fillId="0" borderId="0"/>
    <xf numFmtId="0" fontId="120" fillId="31" borderId="0">
      <alignment wrapText="1"/>
    </xf>
    <xf numFmtId="40" fontId="121" fillId="0" borderId="0" applyBorder="0">
      <alignment horizontal="right"/>
    </xf>
    <xf numFmtId="0" fontId="122" fillId="0" borderId="0"/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165" fontId="123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44" fontId="106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229" fontId="21" fillId="0" borderId="2">
      <alignment horizontal="right" vertical="center"/>
    </xf>
    <xf numFmtId="37" fontId="70" fillId="0" borderId="0" applyBorder="0" applyAlignment="0" applyProtection="0"/>
    <xf numFmtId="49" fontId="70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5" fontId="17" fillId="0" borderId="0" applyFill="0" applyBorder="0" applyAlignment="0"/>
    <xf numFmtId="246" fontId="17" fillId="0" borderId="0" applyFill="0" applyBorder="0" applyAlignment="0"/>
    <xf numFmtId="246" fontId="17" fillId="0" borderId="0" applyFill="0" applyBorder="0" applyAlignment="0"/>
    <xf numFmtId="246" fontId="17" fillId="0" borderId="0" applyFill="0" applyBorder="0" applyAlignment="0"/>
    <xf numFmtId="246" fontId="17" fillId="0" borderId="0" applyFill="0" applyBorder="0" applyAlignment="0"/>
    <xf numFmtId="246" fontId="17" fillId="0" borderId="0" applyFill="0" applyBorder="0" applyAlignment="0"/>
    <xf numFmtId="37" fontId="70" fillId="0" borderId="0" applyBorder="0" applyAlignment="0" applyProtection="0"/>
    <xf numFmtId="183" fontId="106" fillId="0" borderId="2">
      <alignment horizontal="center"/>
    </xf>
    <xf numFmtId="0" fontId="125" fillId="0" borderId="7"/>
    <xf numFmtId="183" fontId="106" fillId="0" borderId="2">
      <alignment horizontal="center"/>
    </xf>
    <xf numFmtId="0" fontId="126" fillId="0" borderId="0">
      <alignment vertical="center" wrapText="1"/>
      <protection locked="0"/>
    </xf>
    <xf numFmtId="0" fontId="39" fillId="0" borderId="7"/>
    <xf numFmtId="0" fontId="125" fillId="0" borderId="7"/>
    <xf numFmtId="0" fontId="39" fillId="0" borderId="7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0" fontId="124" fillId="0" borderId="0"/>
    <xf numFmtId="0" fontId="98" fillId="0" borderId="33" applyNumberFormat="0" applyAlignment="0">
      <alignment horizont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247" fontId="17" fillId="0" borderId="4" applyFont="0" applyFill="0" applyBorder="0" applyProtection="0">
      <alignment horizontal="center"/>
      <protection locked="0"/>
    </xf>
    <xf numFmtId="247" fontId="17" fillId="0" borderId="4" applyFont="0" applyFill="0" applyBorder="0" applyProtection="0">
      <alignment horizontal="center"/>
      <protection locked="0"/>
    </xf>
    <xf numFmtId="247" fontId="17" fillId="0" borderId="4" applyFont="0" applyFill="0" applyBorder="0" applyProtection="0">
      <alignment horizontal="center"/>
      <protection locked="0"/>
    </xf>
    <xf numFmtId="247" fontId="17" fillId="0" borderId="4" applyFont="0" applyFill="0" applyBorder="0" applyProtection="0">
      <alignment horizontal="center"/>
      <protection locked="0"/>
    </xf>
    <xf numFmtId="247" fontId="17" fillId="0" borderId="4" applyFont="0" applyFill="0" applyBorder="0" applyProtection="0">
      <alignment horizontal="center"/>
      <protection locked="0"/>
    </xf>
    <xf numFmtId="248" fontId="18" fillId="0" borderId="34" applyFont="0" applyFill="0" applyBorder="0" applyProtection="0">
      <alignment horizontal="center"/>
    </xf>
    <xf numFmtId="38" fontId="17" fillId="0" borderId="1" applyFont="0" applyFill="0" applyBorder="0" applyAlignment="0" applyProtection="0">
      <protection locked="0"/>
    </xf>
    <xf numFmtId="38" fontId="17" fillId="0" borderId="1" applyFont="0" applyFill="0" applyBorder="0" applyAlignment="0" applyProtection="0">
      <protection locked="0"/>
    </xf>
    <xf numFmtId="38" fontId="17" fillId="0" borderId="1" applyFont="0" applyFill="0" applyBorder="0" applyAlignment="0" applyProtection="0">
      <protection locked="0"/>
    </xf>
    <xf numFmtId="38" fontId="17" fillId="0" borderId="1" applyFont="0" applyFill="0" applyBorder="0" applyAlignment="0" applyProtection="0">
      <protection locked="0"/>
    </xf>
    <xf numFmtId="38" fontId="17" fillId="0" borderId="1" applyFont="0" applyFill="0" applyBorder="0" applyAlignment="0" applyProtection="0">
      <protection locked="0"/>
    </xf>
    <xf numFmtId="15" fontId="17" fillId="0" borderId="1" applyFont="0" applyFill="0" applyBorder="0" applyProtection="0">
      <alignment horizontal="center"/>
      <protection locked="0"/>
    </xf>
    <xf numFmtId="15" fontId="17" fillId="0" borderId="1" applyFont="0" applyFill="0" applyBorder="0" applyProtection="0">
      <alignment horizontal="center"/>
      <protection locked="0"/>
    </xf>
    <xf numFmtId="15" fontId="17" fillId="0" borderId="1" applyFont="0" applyFill="0" applyBorder="0" applyProtection="0">
      <alignment horizontal="center"/>
      <protection locked="0"/>
    </xf>
    <xf numFmtId="15" fontId="17" fillId="0" borderId="1" applyFont="0" applyFill="0" applyBorder="0" applyProtection="0">
      <alignment horizontal="center"/>
      <protection locked="0"/>
    </xf>
    <xf numFmtId="15" fontId="17" fillId="0" borderId="1" applyFont="0" applyFill="0" applyBorder="0" applyProtection="0">
      <alignment horizontal="center"/>
      <protection locked="0"/>
    </xf>
    <xf numFmtId="10" fontId="17" fillId="0" borderId="1" applyFont="0" applyFill="0" applyBorder="0" applyProtection="0">
      <alignment horizontal="center"/>
      <protection locked="0"/>
    </xf>
    <xf numFmtId="10" fontId="17" fillId="0" borderId="1" applyFont="0" applyFill="0" applyBorder="0" applyProtection="0">
      <alignment horizontal="center"/>
      <protection locked="0"/>
    </xf>
    <xf numFmtId="10" fontId="17" fillId="0" borderId="1" applyFont="0" applyFill="0" applyBorder="0" applyProtection="0">
      <alignment horizontal="center"/>
      <protection locked="0"/>
    </xf>
    <xf numFmtId="10" fontId="17" fillId="0" borderId="1" applyFont="0" applyFill="0" applyBorder="0" applyProtection="0">
      <alignment horizontal="center"/>
      <protection locked="0"/>
    </xf>
    <xf numFmtId="10" fontId="17" fillId="0" borderId="1" applyFont="0" applyFill="0" applyBorder="0" applyProtection="0">
      <alignment horizontal="center"/>
      <protection locked="0"/>
    </xf>
    <xf numFmtId="249" fontId="17" fillId="0" borderId="1" applyFont="0" applyFill="0" applyBorder="0" applyProtection="0">
      <alignment horizontal="center"/>
    </xf>
    <xf numFmtId="249" fontId="17" fillId="0" borderId="1" applyFont="0" applyFill="0" applyBorder="0" applyProtection="0">
      <alignment horizontal="center"/>
    </xf>
    <xf numFmtId="249" fontId="17" fillId="0" borderId="1" applyFont="0" applyFill="0" applyBorder="0" applyProtection="0">
      <alignment horizontal="center"/>
    </xf>
    <xf numFmtId="249" fontId="17" fillId="0" borderId="1" applyFont="0" applyFill="0" applyBorder="0" applyProtection="0">
      <alignment horizontal="center"/>
    </xf>
    <xf numFmtId="249" fontId="17" fillId="0" borderId="1" applyFont="0" applyFill="0" applyBorder="0" applyProtection="0">
      <alignment horizontal="center"/>
    </xf>
    <xf numFmtId="179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246" fontId="106" fillId="0" borderId="0"/>
    <xf numFmtId="250" fontId="106" fillId="0" borderId="1"/>
    <xf numFmtId="0" fontId="127" fillId="0" borderId="0"/>
    <xf numFmtId="0" fontId="127" fillId="0" borderId="0"/>
    <xf numFmtId="213" fontId="128" fillId="40" borderId="35">
      <alignment vertical="top"/>
    </xf>
    <xf numFmtId="0" fontId="130" fillId="41" borderId="1">
      <alignment horizontal="left" vertical="center"/>
    </xf>
    <xf numFmtId="251" fontId="131" fillId="42" borderId="35"/>
    <xf numFmtId="213" fontId="92" fillId="0" borderId="35">
      <alignment horizontal="left" vertical="top"/>
    </xf>
    <xf numFmtId="0" fontId="132" fillId="43" borderId="0">
      <alignment horizontal="left" vertical="center"/>
    </xf>
    <xf numFmtId="213" fontId="38" fillId="0" borderId="23">
      <alignment horizontal="left" vertical="top"/>
    </xf>
    <xf numFmtId="0" fontId="129" fillId="0" borderId="23">
      <alignment horizontal="left" vertical="center"/>
    </xf>
    <xf numFmtId="252" fontId="17" fillId="0" borderId="0" applyFont="0" applyFill="0" applyBorder="0" applyAlignment="0" applyProtection="0"/>
    <xf numFmtId="253" fontId="17" fillId="0" borderId="0" applyFont="0" applyFill="0" applyBorder="0" applyAlignment="0" applyProtection="0"/>
    <xf numFmtId="0" fontId="133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34" fillId="0" borderId="0">
      <alignment vertical="center"/>
    </xf>
    <xf numFmtId="176" fontId="25" fillId="0" borderId="0" applyFont="0" applyFill="0" applyBorder="0" applyAlignment="0" applyProtection="0"/>
    <xf numFmtId="177" fontId="25" fillId="0" borderId="0" applyFont="0" applyFill="0" applyBorder="0" applyAlignment="0" applyProtection="0"/>
    <xf numFmtId="0" fontId="135" fillId="28" borderId="14" applyNumberFormat="0" applyAlignment="0" applyProtection="0"/>
    <xf numFmtId="0" fontId="136" fillId="0" borderId="24" applyNumberFormat="0" applyFill="0" applyAlignment="0" applyProtection="0"/>
    <xf numFmtId="0" fontId="137" fillId="9" borderId="0" applyNumberFormat="0" applyBorder="0" applyAlignment="0" applyProtection="0"/>
    <xf numFmtId="0" fontId="138" fillId="27" borderId="28" applyNumberFormat="0" applyAlignment="0" applyProtection="0"/>
    <xf numFmtId="0" fontId="139" fillId="27" borderId="13" applyNumberFormat="0" applyAlignment="0" applyProtection="0"/>
    <xf numFmtId="0" fontId="140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3" fillId="10" borderId="0" applyNumberFormat="0" applyBorder="0" applyAlignment="0" applyProtection="0"/>
    <xf numFmtId="0" fontId="25" fillId="0" borderId="0"/>
    <xf numFmtId="0" fontId="144" fillId="13" borderId="13" applyNumberFormat="0" applyAlignment="0" applyProtection="0"/>
    <xf numFmtId="0" fontId="145" fillId="36" borderId="0" applyNumberFormat="0" applyBorder="0" applyAlignment="0" applyProtection="0"/>
    <xf numFmtId="0" fontId="146" fillId="0" borderId="32" applyNumberFormat="0" applyFill="0" applyAlignment="0" applyProtection="0"/>
    <xf numFmtId="0" fontId="53" fillId="22" borderId="0" applyNumberFormat="0" applyBorder="0" applyAlignment="0" applyProtection="0"/>
    <xf numFmtId="0" fontId="53" fillId="23" borderId="0" applyNumberFormat="0" applyBorder="0" applyAlignment="0" applyProtection="0"/>
    <xf numFmtId="0" fontId="53" fillId="24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5" borderId="0" applyNumberFormat="0" applyBorder="0" applyAlignment="0" applyProtection="0"/>
    <xf numFmtId="0" fontId="147" fillId="37" borderId="27" applyNumberFormat="0" applyFont="0" applyAlignment="0" applyProtection="0"/>
    <xf numFmtId="0" fontId="148" fillId="0" borderId="18" applyNumberFormat="0" applyFill="0" applyAlignment="0" applyProtection="0"/>
    <xf numFmtId="0" fontId="149" fillId="0" borderId="19" applyNumberFormat="0" applyFill="0" applyAlignment="0" applyProtection="0"/>
    <xf numFmtId="0" fontId="150" fillId="0" borderId="20" applyNumberFormat="0" applyFill="0" applyAlignment="0" applyProtection="0"/>
    <xf numFmtId="0" fontId="150" fillId="0" borderId="0" applyNumberFormat="0" applyFill="0" applyBorder="0" applyAlignment="0" applyProtection="0"/>
    <xf numFmtId="0" fontId="151" fillId="0" borderId="0" applyFont="0" applyFill="0" applyBorder="0" applyAlignment="0" applyProtection="0"/>
    <xf numFmtId="0" fontId="151" fillId="0" borderId="0" applyFont="0" applyFill="0" applyBorder="0" applyAlignment="0" applyProtection="0"/>
    <xf numFmtId="0" fontId="2" fillId="0" borderId="0">
      <alignment vertical="center"/>
    </xf>
    <xf numFmtId="254" fontId="102" fillId="0" borderId="0">
      <protection locked="0"/>
    </xf>
    <xf numFmtId="0" fontId="152" fillId="0" borderId="0">
      <protection locked="0"/>
    </xf>
    <xf numFmtId="0" fontId="152" fillId="0" borderId="0">
      <protection locked="0"/>
    </xf>
    <xf numFmtId="0" fontId="153" fillId="0" borderId="0">
      <protection locked="0"/>
    </xf>
    <xf numFmtId="0" fontId="153" fillId="0" borderId="0">
      <protection locked="0"/>
    </xf>
    <xf numFmtId="40" fontId="154" fillId="0" borderId="0" applyFont="0" applyFill="0" applyBorder="0" applyAlignment="0" applyProtection="0"/>
    <xf numFmtId="38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4" fillId="0" borderId="0" applyFont="0" applyFill="0" applyBorder="0" applyAlignment="0" applyProtection="0"/>
    <xf numFmtId="9" fontId="155" fillId="0" borderId="0" applyBorder="0" applyAlignment="0" applyProtection="0"/>
    <xf numFmtId="0" fontId="156" fillId="0" borderId="0"/>
    <xf numFmtId="255" fontId="157" fillId="0" borderId="0">
      <alignment vertical="center"/>
    </xf>
    <xf numFmtId="41" fontId="158" fillId="0" borderId="0" applyFont="0" applyFill="0" applyBorder="0" applyAlignment="0" applyProtection="0"/>
    <xf numFmtId="43" fontId="17" fillId="0" borderId="0" applyFont="0" applyFill="0" applyBorder="0" applyAlignment="0" applyProtection="0"/>
    <xf numFmtId="4" fontId="153" fillId="0" borderId="0">
      <protection locked="0"/>
    </xf>
    <xf numFmtId="256" fontId="102" fillId="0" borderId="0">
      <protection locked="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178" fontId="102" fillId="0" borderId="0" applyFont="0" applyFill="0" applyBorder="0" applyAlignment="0" applyProtection="0"/>
    <xf numFmtId="180" fontId="102" fillId="0" borderId="0" applyFont="0" applyFill="0" applyBorder="0" applyAlignment="0" applyProtection="0"/>
    <xf numFmtId="257" fontId="71" fillId="0" borderId="0">
      <protection locked="0"/>
    </xf>
    <xf numFmtId="0" fontId="159" fillId="0" borderId="0"/>
    <xf numFmtId="0" fontId="153" fillId="0" borderId="8">
      <protection locked="0"/>
    </xf>
    <xf numFmtId="258" fontId="71" fillId="0" borderId="0">
      <protection locked="0"/>
    </xf>
    <xf numFmtId="259" fontId="102" fillId="0" borderId="0">
      <protection locked="0"/>
    </xf>
    <xf numFmtId="0" fontId="71" fillId="0" borderId="0"/>
    <xf numFmtId="19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6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161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top"/>
      <protection locked="0"/>
    </xf>
    <xf numFmtId="0" fontId="163" fillId="0" borderId="0"/>
    <xf numFmtId="0" fontId="164" fillId="0" borderId="0"/>
    <xf numFmtId="175" fontId="17" fillId="0" borderId="0" applyFont="0" applyFill="0" applyBorder="0" applyAlignment="0" applyProtection="0"/>
    <xf numFmtId="194" fontId="17" fillId="0" borderId="0" applyFont="0" applyFill="0" applyBorder="0" applyAlignment="0" applyProtection="0"/>
    <xf numFmtId="0" fontId="17" fillId="0" borderId="0"/>
    <xf numFmtId="179" fontId="20" fillId="0" borderId="0" applyFont="0" applyFill="0" applyBorder="0" applyAlignment="0" applyProtection="0"/>
    <xf numFmtId="251" fontId="165" fillId="0" borderId="0" applyFont="0" applyFill="0" applyBorder="0" applyAlignment="0" applyProtection="0"/>
    <xf numFmtId="181" fontId="20" fillId="0" borderId="0" applyFont="0" applyFill="0" applyBorder="0" applyAlignment="0" applyProtection="0"/>
    <xf numFmtId="0" fontId="166" fillId="0" borderId="0" applyNumberFormat="0" applyFill="0" applyBorder="0" applyAlignment="0" applyProtection="0"/>
    <xf numFmtId="0" fontId="167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0" fontId="168" fillId="0" borderId="0" applyNumberFormat="0" applyFill="0" applyBorder="0" applyAlignment="0" applyProtection="0">
      <alignment vertical="top"/>
      <protection locked="0"/>
    </xf>
    <xf numFmtId="177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225" fontId="170" fillId="0" borderId="2">
      <alignment horizontal="center"/>
    </xf>
    <xf numFmtId="0" fontId="172" fillId="0" borderId="0"/>
    <xf numFmtId="164" fontId="173" fillId="0" borderId="0" applyFont="0" applyFill="0" applyBorder="0" applyAlignment="0" applyProtection="0"/>
    <xf numFmtId="43" fontId="174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7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89">
    <xf numFmtId="0" fontId="0" fillId="0" borderId="0" xfId="0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168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44" borderId="0" xfId="0" applyFont="1" applyFill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4" borderId="15" xfId="0" applyFont="1" applyFill="1" applyBorder="1" applyAlignment="1">
      <alignment vertical="center" wrapText="1"/>
    </xf>
    <xf numFmtId="0" fontId="176" fillId="0" borderId="0" xfId="0" applyFont="1" applyAlignment="1">
      <alignment horizontal="center" vertical="center" wrapText="1"/>
    </xf>
    <xf numFmtId="0" fontId="2" fillId="0" borderId="22" xfId="1888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77" fillId="45" borderId="1" xfId="0" applyFont="1" applyFill="1" applyBorder="1" applyAlignment="1">
      <alignment horizontal="center" vertical="center" wrapText="1"/>
    </xf>
    <xf numFmtId="0" fontId="177" fillId="0" borderId="1" xfId="0" applyFont="1" applyFill="1" applyBorder="1" applyAlignment="1">
      <alignment horizontal="center" vertical="center" wrapText="1"/>
    </xf>
    <xf numFmtId="0" fontId="4" fillId="45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45" borderId="1" xfId="0" applyFont="1" applyFill="1" applyBorder="1" applyAlignment="1">
      <alignment horizontal="left" vertical="center" wrapText="1"/>
    </xf>
    <xf numFmtId="0" fontId="177" fillId="0" borderId="1" xfId="0" applyFont="1" applyBorder="1" applyAlignment="1">
      <alignment horizontal="center" vertical="center" wrapText="1"/>
    </xf>
    <xf numFmtId="0" fontId="1" fillId="3" borderId="22" xfId="1888" applyFont="1" applyFill="1" applyBorder="1" applyAlignment="1">
      <alignment horizontal="center" vertical="center" wrapText="1"/>
    </xf>
    <xf numFmtId="0" fontId="177" fillId="45" borderId="1" xfId="0" applyFont="1" applyFill="1" applyBorder="1" applyAlignment="1">
      <alignment horizontal="left" vertical="center" wrapText="1"/>
    </xf>
    <xf numFmtId="0" fontId="2" fillId="0" borderId="22" xfId="1888" applyFont="1" applyFill="1" applyBorder="1" applyAlignment="1">
      <alignment horizontal="center" vertical="center" wrapText="1"/>
    </xf>
    <xf numFmtId="0" fontId="177" fillId="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77" fillId="0" borderId="1" xfId="0" applyFont="1" applyBorder="1" applyAlignment="1">
      <alignment vertical="center"/>
    </xf>
    <xf numFmtId="260" fontId="178" fillId="0" borderId="1" xfId="1900" applyNumberFormat="1" applyFont="1" applyFill="1" applyBorder="1" applyAlignment="1">
      <alignment horizontal="center" vertical="center" wrapText="1"/>
    </xf>
    <xf numFmtId="0" fontId="177" fillId="0" borderId="0" xfId="0" applyFont="1" applyAlignment="1">
      <alignment horizontal="center" vertical="center" wrapText="1"/>
    </xf>
    <xf numFmtId="0" fontId="180" fillId="0" borderId="0" xfId="0" applyFont="1" applyAlignment="1">
      <alignment horizontal="center" vertical="center" wrapText="1"/>
    </xf>
    <xf numFmtId="260" fontId="177" fillId="0" borderId="0" xfId="0" applyNumberFormat="1" applyFont="1" applyAlignment="1">
      <alignment horizontal="center" vertical="center" wrapText="1"/>
    </xf>
    <xf numFmtId="0" fontId="178" fillId="46" borderId="1" xfId="0" applyFont="1" applyFill="1" applyBorder="1" applyAlignment="1">
      <alignment horizontal="center" vertical="center" wrapText="1"/>
    </xf>
    <xf numFmtId="0" fontId="178" fillId="46" borderId="1" xfId="0" applyFont="1" applyFill="1" applyBorder="1" applyAlignment="1">
      <alignment horizontal="left" vertical="center" wrapText="1"/>
    </xf>
    <xf numFmtId="0" fontId="177" fillId="46" borderId="1" xfId="0" applyFont="1" applyFill="1" applyBorder="1" applyAlignment="1">
      <alignment horizontal="center" vertical="center" wrapText="1"/>
    </xf>
    <xf numFmtId="0" fontId="177" fillId="46" borderId="1" xfId="0" applyFont="1" applyFill="1" applyBorder="1" applyAlignment="1">
      <alignment horizontal="left" vertical="center" wrapText="1"/>
    </xf>
    <xf numFmtId="14" fontId="177" fillId="46" borderId="1" xfId="0" applyNumberFormat="1" applyFont="1" applyFill="1" applyBorder="1" applyAlignment="1">
      <alignment horizontal="center" vertical="center" wrapText="1"/>
    </xf>
    <xf numFmtId="0" fontId="178" fillId="3" borderId="1" xfId="0" applyFont="1" applyFill="1" applyBorder="1" applyAlignment="1">
      <alignment horizontal="center" vertical="center" wrapText="1"/>
    </xf>
    <xf numFmtId="0" fontId="178" fillId="3" borderId="1" xfId="0" applyFont="1" applyFill="1" applyBorder="1" applyAlignment="1">
      <alignment vertical="center" wrapText="1"/>
    </xf>
    <xf numFmtId="260" fontId="178" fillId="3" borderId="1" xfId="1900" applyNumberFormat="1" applyFont="1" applyFill="1" applyBorder="1" applyAlignment="1">
      <alignment horizontal="center" vertical="center" wrapText="1"/>
    </xf>
    <xf numFmtId="0" fontId="177" fillId="0" borderId="1" xfId="0" applyFont="1" applyBorder="1" applyAlignment="1">
      <alignment horizontal="left" vertical="center" wrapText="1"/>
    </xf>
    <xf numFmtId="169" fontId="172" fillId="0" borderId="0" xfId="0" applyNumberFormat="1" applyFont="1" applyAlignment="1">
      <alignment horizontal="center" vertical="center"/>
    </xf>
    <xf numFmtId="169" fontId="172" fillId="0" borderId="1" xfId="0" applyNumberFormat="1" applyFont="1" applyBorder="1" applyAlignment="1">
      <alignment horizontal="center" vertical="center"/>
    </xf>
    <xf numFmtId="169" fontId="177" fillId="45" borderId="1" xfId="0" applyNumberFormat="1" applyFont="1" applyFill="1" applyBorder="1" applyAlignment="1">
      <alignment horizontal="center" vertical="center"/>
    </xf>
    <xf numFmtId="260" fontId="178" fillId="45" borderId="1" xfId="1900" applyNumberFormat="1" applyFont="1" applyFill="1" applyBorder="1" applyAlignment="1">
      <alignment horizontal="center" vertical="center" wrapText="1"/>
    </xf>
    <xf numFmtId="0" fontId="177" fillId="45" borderId="0" xfId="0" applyFont="1" applyFill="1" applyAlignment="1">
      <alignment horizontal="center" vertical="center" wrapText="1"/>
    </xf>
    <xf numFmtId="169" fontId="177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77" fillId="0" borderId="1" xfId="0" applyFont="1" applyBorder="1"/>
    <xf numFmtId="0" fontId="172" fillId="0" borderId="0" xfId="0" applyFont="1"/>
    <xf numFmtId="0" fontId="1" fillId="3" borderId="2" xfId="0" applyFont="1" applyFill="1" applyBorder="1" applyAlignment="1">
      <alignment vertical="center" wrapText="1"/>
    </xf>
    <xf numFmtId="0" fontId="180" fillId="3" borderId="1" xfId="0" applyFont="1" applyFill="1" applyBorder="1" applyAlignment="1">
      <alignment vertical="center" wrapText="1"/>
    </xf>
    <xf numFmtId="0" fontId="180" fillId="3" borderId="1" xfId="0" applyFont="1" applyFill="1" applyBorder="1" applyAlignment="1">
      <alignment horizontal="center" vertical="center" wrapText="1"/>
    </xf>
    <xf numFmtId="0" fontId="177" fillId="0" borderId="35" xfId="0" applyFont="1" applyBorder="1" applyAlignment="1">
      <alignment horizontal="center" vertical="center" wrapText="1"/>
    </xf>
    <xf numFmtId="0" fontId="177" fillId="0" borderId="35" xfId="0" applyFont="1" applyFill="1" applyBorder="1" applyAlignment="1">
      <alignment horizontal="center" vertical="center" wrapText="1"/>
    </xf>
    <xf numFmtId="0" fontId="177" fillId="0" borderId="1" xfId="0" applyFont="1" applyFill="1" applyBorder="1"/>
    <xf numFmtId="0" fontId="177" fillId="0" borderId="35" xfId="0" applyFont="1" applyFill="1" applyBorder="1" applyAlignment="1">
      <alignment horizontal="left" vertical="center" wrapText="1"/>
    </xf>
    <xf numFmtId="0" fontId="177" fillId="0" borderId="35" xfId="0" applyFont="1" applyBorder="1" applyAlignment="1">
      <alignment horizontal="left" vertical="center" wrapText="1"/>
    </xf>
    <xf numFmtId="0" fontId="172" fillId="0" borderId="0" xfId="0" applyFont="1" applyAlignment="1">
      <alignment vertical="center"/>
    </xf>
    <xf numFmtId="0" fontId="177" fillId="3" borderId="1" xfId="0" applyFont="1" applyFill="1" applyBorder="1" applyAlignment="1">
      <alignment vertical="center" wrapText="1"/>
    </xf>
    <xf numFmtId="0" fontId="177" fillId="3" borderId="1" xfId="0" applyFont="1" applyFill="1" applyBorder="1" applyAlignment="1">
      <alignment horizontal="center" vertical="center" wrapText="1"/>
    </xf>
    <xf numFmtId="0" fontId="178" fillId="0" borderId="0" xfId="0" applyFont="1"/>
    <xf numFmtId="0" fontId="177" fillId="0" borderId="0" xfId="0" applyFont="1" applyAlignment="1">
      <alignment horizontal="left" vertical="center" wrapText="1"/>
    </xf>
    <xf numFmtId="0" fontId="177" fillId="45" borderId="1" xfId="0" applyFont="1" applyFill="1" applyBorder="1"/>
    <xf numFmtId="0" fontId="172" fillId="45" borderId="0" xfId="0" applyFont="1" applyFill="1"/>
    <xf numFmtId="0" fontId="177" fillId="45" borderId="1" xfId="0" applyFont="1" applyFill="1" applyBorder="1" applyAlignment="1">
      <alignment vertical="center" wrapText="1"/>
    </xf>
    <xf numFmtId="0" fontId="0" fillId="45" borderId="0" xfId="0" applyFill="1"/>
    <xf numFmtId="0" fontId="4" fillId="45" borderId="1" xfId="0" applyFont="1" applyFill="1" applyBorder="1" applyAlignment="1">
      <alignment vertical="center" wrapText="1"/>
    </xf>
    <xf numFmtId="43" fontId="177" fillId="0" borderId="0" xfId="0" applyNumberFormat="1" applyFont="1" applyAlignment="1">
      <alignment horizontal="center" vertical="center" wrapText="1"/>
    </xf>
    <xf numFmtId="0" fontId="181" fillId="0" borderId="1" xfId="0" applyFont="1" applyBorder="1" applyAlignment="1">
      <alignment horizontal="center" vertical="center" wrapText="1"/>
    </xf>
    <xf numFmtId="0" fontId="181" fillId="0" borderId="1" xfId="0" applyFont="1" applyBorder="1" applyAlignment="1">
      <alignment horizontal="left" vertical="center" wrapText="1"/>
    </xf>
    <xf numFmtId="0" fontId="178" fillId="46" borderId="1" xfId="0" applyFont="1" applyFill="1" applyBorder="1" applyAlignment="1">
      <alignment horizontal="center" vertical="center" wrapText="1"/>
    </xf>
    <xf numFmtId="169" fontId="4" fillId="0" borderId="2" xfId="0" applyNumberFormat="1" applyFont="1" applyBorder="1" applyAlignment="1">
      <alignment horizontal="center" vertical="center"/>
    </xf>
    <xf numFmtId="0" fontId="181" fillId="0" borderId="1" xfId="0" applyFont="1" applyBorder="1"/>
    <xf numFmtId="0" fontId="7" fillId="0" borderId="35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169" fontId="7" fillId="0" borderId="2" xfId="0" applyNumberFormat="1" applyFont="1" applyBorder="1" applyAlignment="1">
      <alignment horizontal="center" vertical="center"/>
    </xf>
    <xf numFmtId="1" fontId="180" fillId="0" borderId="0" xfId="0" applyNumberFormat="1" applyFont="1" applyAlignment="1">
      <alignment horizontal="center" vertical="center" wrapText="1"/>
    </xf>
    <xf numFmtId="1" fontId="178" fillId="46" borderId="1" xfId="0" applyNumberFormat="1" applyFont="1" applyFill="1" applyBorder="1" applyAlignment="1">
      <alignment horizontal="center" vertical="center" wrapText="1"/>
    </xf>
    <xf numFmtId="1" fontId="177" fillId="46" borderId="1" xfId="0" applyNumberFormat="1" applyFont="1" applyFill="1" applyBorder="1" applyAlignment="1">
      <alignment horizontal="center" vertical="center" wrapText="1"/>
    </xf>
    <xf numFmtId="1" fontId="178" fillId="3" borderId="1" xfId="0" applyNumberFormat="1" applyFont="1" applyFill="1" applyBorder="1" applyAlignment="1">
      <alignment horizontal="center" vertical="center" wrapText="1"/>
    </xf>
    <xf numFmtId="1" fontId="172" fillId="0" borderId="1" xfId="0" applyNumberFormat="1" applyFont="1" applyBorder="1" applyAlignment="1">
      <alignment horizontal="center" vertical="center"/>
    </xf>
    <xf numFmtId="1" fontId="177" fillId="45" borderId="1" xfId="0" applyNumberFormat="1" applyFont="1" applyFill="1" applyBorder="1" applyAlignment="1">
      <alignment horizontal="center" vertical="center"/>
    </xf>
    <xf numFmtId="1" fontId="177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wrapText="1"/>
    </xf>
    <xf numFmtId="1" fontId="177" fillId="45" borderId="1" xfId="0" applyNumberFormat="1" applyFont="1" applyFill="1" applyBorder="1" applyAlignment="1">
      <alignment horizontal="center" vertical="center" wrapText="1"/>
    </xf>
    <xf numFmtId="1" fontId="180" fillId="3" borderId="1" xfId="0" applyNumberFormat="1" applyFont="1" applyFill="1" applyBorder="1" applyAlignment="1">
      <alignment horizontal="center" vertical="center" wrapText="1"/>
    </xf>
    <xf numFmtId="1" fontId="177" fillId="3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left" vertical="center"/>
    </xf>
    <xf numFmtId="1" fontId="2" fillId="0" borderId="0" xfId="0" applyNumberFormat="1" applyFont="1"/>
    <xf numFmtId="1" fontId="2" fillId="0" borderId="0" xfId="0" applyNumberFormat="1" applyFont="1" applyAlignment="1">
      <alignment vertical="top"/>
    </xf>
    <xf numFmtId="1" fontId="177" fillId="0" borderId="0" xfId="0" applyNumberFormat="1" applyFont="1" applyAlignment="1">
      <alignment horizontal="center" vertical="center" wrapText="1"/>
    </xf>
    <xf numFmtId="1" fontId="177" fillId="45" borderId="0" xfId="0" applyNumberFormat="1" applyFont="1" applyFill="1" applyAlignment="1">
      <alignment horizontal="center" vertical="center" wrapText="1"/>
    </xf>
    <xf numFmtId="169" fontId="172" fillId="0" borderId="2" xfId="0" applyNumberFormat="1" applyFont="1" applyBorder="1" applyAlignment="1">
      <alignment horizontal="center" vertical="center"/>
    </xf>
    <xf numFmtId="1" fontId="177" fillId="0" borderId="1" xfId="0" quotePrefix="1" applyNumberFormat="1" applyFont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left" vertical="center" wrapText="1"/>
    </xf>
    <xf numFmtId="260" fontId="178" fillId="3" borderId="1" xfId="1900" applyNumberFormat="1" applyFont="1" applyFill="1" applyBorder="1" applyAlignment="1">
      <alignment vertical="center" wrapText="1"/>
    </xf>
    <xf numFmtId="0" fontId="2" fillId="45" borderId="1" xfId="0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left" vertical="center" wrapText="1"/>
    </xf>
    <xf numFmtId="169" fontId="182" fillId="45" borderId="1" xfId="0" applyNumberFormat="1" applyFont="1" applyFill="1" applyBorder="1" applyAlignment="1">
      <alignment horizontal="center" vertical="center"/>
    </xf>
    <xf numFmtId="1" fontId="182" fillId="45" borderId="1" xfId="0" applyNumberFormat="1" applyFont="1" applyFill="1" applyBorder="1" applyAlignment="1">
      <alignment horizontal="center" vertical="center"/>
    </xf>
    <xf numFmtId="260" fontId="1" fillId="45" borderId="1" xfId="1900" applyNumberFormat="1" applyFont="1" applyFill="1" applyBorder="1" applyAlignment="1">
      <alignment horizontal="center" vertical="center" wrapText="1"/>
    </xf>
    <xf numFmtId="0" fontId="2" fillId="45" borderId="0" xfId="0" applyFont="1" applyFill="1" applyAlignment="1">
      <alignment horizontal="center" vertical="center" wrapText="1"/>
    </xf>
    <xf numFmtId="0" fontId="2" fillId="45" borderId="22" xfId="1888" applyFont="1" applyFill="1" applyBorder="1" applyAlignment="1">
      <alignment horizontal="center" vertical="center" wrapText="1"/>
    </xf>
    <xf numFmtId="0" fontId="6" fillId="45" borderId="2" xfId="0" applyFont="1" applyFill="1" applyBorder="1" applyAlignment="1">
      <alignment vertical="center" wrapText="1"/>
    </xf>
    <xf numFmtId="0" fontId="7" fillId="45" borderId="35" xfId="0" applyFont="1" applyFill="1" applyBorder="1" applyAlignment="1">
      <alignment vertical="center" wrapText="1"/>
    </xf>
    <xf numFmtId="0" fontId="4" fillId="45" borderId="35" xfId="0" applyFont="1" applyFill="1" applyBorder="1" applyAlignment="1">
      <alignment horizontal="center" vertical="center" wrapText="1"/>
    </xf>
    <xf numFmtId="0" fontId="7" fillId="45" borderId="2" xfId="0" applyFont="1" applyFill="1" applyBorder="1" applyAlignment="1">
      <alignment horizontal="center" vertical="center" wrapText="1"/>
    </xf>
    <xf numFmtId="260" fontId="4" fillId="45" borderId="1" xfId="1900" applyNumberFormat="1" applyFont="1" applyFill="1" applyBorder="1" applyAlignment="1">
      <alignment horizontal="center" vertical="center" wrapText="1"/>
    </xf>
    <xf numFmtId="0" fontId="0" fillId="4" borderId="0" xfId="0" applyFill="1"/>
    <xf numFmtId="0" fontId="177" fillId="0" borderId="1" xfId="0" applyFont="1" applyBorder="1" applyAlignment="1">
      <alignment horizontal="center" vertical="center"/>
    </xf>
    <xf numFmtId="0" fontId="177" fillId="45" borderId="1" xfId="0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vertical="center" wrapText="1"/>
    </xf>
    <xf numFmtId="0" fontId="6" fillId="4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9" fontId="4" fillId="0" borderId="1" xfId="0" applyNumberFormat="1" applyFont="1" applyBorder="1" applyAlignment="1">
      <alignment horizontal="center" vertical="center"/>
    </xf>
    <xf numFmtId="169" fontId="6" fillId="45" borderId="1" xfId="0" applyNumberFormat="1" applyFont="1" applyFill="1" applyBorder="1" applyAlignment="1">
      <alignment horizontal="center" vertical="center"/>
    </xf>
    <xf numFmtId="0" fontId="1" fillId="3" borderId="1" xfId="1888" applyFont="1" applyFill="1" applyBorder="1" applyAlignment="1">
      <alignment horizontal="center" vertical="center" wrapText="1"/>
    </xf>
    <xf numFmtId="0" fontId="2" fillId="0" borderId="1" xfId="1888" applyFont="1" applyBorder="1" applyAlignment="1">
      <alignment horizontal="center" vertical="center" wrapText="1"/>
    </xf>
    <xf numFmtId="0" fontId="2" fillId="45" borderId="1" xfId="1888" applyFont="1" applyFill="1" applyBorder="1" applyAlignment="1">
      <alignment horizontal="center" vertical="center" wrapText="1"/>
    </xf>
    <xf numFmtId="0" fontId="2" fillId="0" borderId="1" xfId="1888" applyFont="1" applyFill="1" applyBorder="1" applyAlignment="1">
      <alignment horizontal="center" vertical="center" wrapText="1"/>
    </xf>
    <xf numFmtId="0" fontId="178" fillId="46" borderId="1" xfId="0" applyFont="1" applyFill="1" applyBorder="1" applyAlignment="1">
      <alignment vertical="center" wrapText="1"/>
    </xf>
    <xf numFmtId="0" fontId="178" fillId="46" borderId="1" xfId="0" applyFont="1" applyFill="1" applyBorder="1" applyAlignment="1">
      <alignment horizontal="center" vertical="center" wrapText="1"/>
    </xf>
    <xf numFmtId="0" fontId="178" fillId="46" borderId="1" xfId="0" applyFont="1" applyFill="1" applyBorder="1" applyAlignment="1">
      <alignment horizontal="center" vertical="center" wrapText="1"/>
    </xf>
    <xf numFmtId="260" fontId="7" fillId="45" borderId="1" xfId="1900" applyNumberFormat="1" applyFont="1" applyFill="1" applyBorder="1" applyAlignment="1">
      <alignment horizontal="center" vertical="center" wrapText="1"/>
    </xf>
    <xf numFmtId="0" fontId="181" fillId="0" borderId="1" xfId="0" applyFont="1" applyFill="1" applyBorder="1"/>
    <xf numFmtId="0" fontId="177" fillId="0" borderId="1" xfId="0" applyFont="1" applyFill="1" applyBorder="1" applyAlignment="1">
      <alignment horizontal="center" vertical="center"/>
    </xf>
    <xf numFmtId="1" fontId="177" fillId="45" borderId="1" xfId="0" quotePrefix="1" applyNumberFormat="1" applyFont="1" applyFill="1" applyBorder="1" applyAlignment="1">
      <alignment horizontal="center" vertical="center" wrapText="1"/>
    </xf>
    <xf numFmtId="14" fontId="177" fillId="45" borderId="1" xfId="0" applyNumberFormat="1" applyFont="1" applyFill="1" applyBorder="1" applyAlignment="1">
      <alignment horizontal="center" vertical="center" wrapText="1"/>
    </xf>
    <xf numFmtId="14" fontId="2" fillId="45" borderId="1" xfId="0" applyNumberFormat="1" applyFont="1" applyFill="1" applyBorder="1" applyAlignment="1">
      <alignment horizontal="center" vertical="center" wrapText="1"/>
    </xf>
    <xf numFmtId="0" fontId="178" fillId="45" borderId="1" xfId="0" applyFont="1" applyFill="1" applyBorder="1" applyAlignment="1">
      <alignment horizontal="center" vertical="center" wrapText="1"/>
    </xf>
    <xf numFmtId="0" fontId="177" fillId="45" borderId="1" xfId="0" applyFont="1" applyFill="1" applyBorder="1" applyAlignment="1">
      <alignment horizontal="center"/>
    </xf>
    <xf numFmtId="0" fontId="2" fillId="45" borderId="1" xfId="0" applyFont="1" applyFill="1" applyBorder="1"/>
    <xf numFmtId="0" fontId="177" fillId="45" borderId="1" xfId="0" applyFont="1" applyFill="1" applyBorder="1" applyAlignment="1">
      <alignment vertical="center"/>
    </xf>
    <xf numFmtId="0" fontId="2" fillId="45" borderId="1" xfId="0" applyFont="1" applyFill="1" applyBorder="1" applyAlignment="1">
      <alignment vertical="center"/>
    </xf>
    <xf numFmtId="0" fontId="172" fillId="45" borderId="1" xfId="0" applyFont="1" applyFill="1" applyBorder="1" applyAlignment="1">
      <alignment horizontal="center"/>
    </xf>
    <xf numFmtId="0" fontId="172" fillId="45" borderId="1" xfId="0" applyFont="1" applyFill="1" applyBorder="1"/>
    <xf numFmtId="260" fontId="179" fillId="45" borderId="1" xfId="1900" applyNumberFormat="1" applyFont="1" applyFill="1" applyBorder="1" applyAlignment="1">
      <alignment horizontal="center" vertical="center" wrapText="1"/>
    </xf>
    <xf numFmtId="0" fontId="179" fillId="45" borderId="1" xfId="0" applyFont="1" applyFill="1" applyBorder="1"/>
    <xf numFmtId="260" fontId="183" fillId="45" borderId="1" xfId="1900" applyNumberFormat="1" applyFont="1" applyFill="1" applyBorder="1" applyAlignment="1">
      <alignment horizontal="center" vertical="center" wrapText="1"/>
    </xf>
    <xf numFmtId="0" fontId="182" fillId="45" borderId="1" xfId="0" applyFont="1" applyFill="1" applyBorder="1"/>
    <xf numFmtId="260" fontId="177" fillId="45" borderId="0" xfId="0" applyNumberFormat="1" applyFont="1" applyFill="1" applyAlignment="1">
      <alignment horizontal="center" vertical="center" wrapText="1"/>
    </xf>
    <xf numFmtId="14" fontId="178" fillId="46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/>
    </xf>
    <xf numFmtId="0" fontId="7" fillId="47" borderId="1" xfId="0" applyFont="1" applyFill="1" applyBorder="1" applyAlignment="1">
      <alignment horizontal="center" vertical="center" wrapText="1"/>
    </xf>
    <xf numFmtId="0" fontId="6" fillId="47" borderId="1" xfId="0" applyFont="1" applyFill="1" applyBorder="1" applyAlignment="1">
      <alignment horizontal="center" vertical="center" wrapText="1"/>
    </xf>
    <xf numFmtId="43" fontId="178" fillId="45" borderId="1" xfId="1901" applyFont="1" applyFill="1" applyBorder="1" applyAlignment="1">
      <alignment horizontal="center" vertical="center" wrapText="1"/>
    </xf>
    <xf numFmtId="260" fontId="1" fillId="3" borderId="1" xfId="1900" applyNumberFormat="1" applyFont="1" applyFill="1" applyBorder="1" applyAlignment="1">
      <alignment horizontal="center" vertical="center" wrapText="1"/>
    </xf>
    <xf numFmtId="43" fontId="178" fillId="3" borderId="1" xfId="1901" applyFont="1" applyFill="1" applyBorder="1" applyAlignment="1">
      <alignment horizontal="center" vertical="center" wrapText="1"/>
    </xf>
    <xf numFmtId="170" fontId="178" fillId="3" borderId="1" xfId="1900" applyNumberFormat="1" applyFont="1" applyFill="1" applyBorder="1" applyAlignment="1">
      <alignment horizontal="center" vertical="center" wrapText="1"/>
    </xf>
    <xf numFmtId="170" fontId="1" fillId="3" borderId="1" xfId="1900" applyNumberFormat="1" applyFont="1" applyFill="1" applyBorder="1" applyAlignment="1">
      <alignment horizontal="center" vertical="center" wrapText="1"/>
    </xf>
    <xf numFmtId="0" fontId="172" fillId="3" borderId="1" xfId="0" applyFont="1" applyFill="1" applyBorder="1" applyAlignment="1">
      <alignment horizontal="center"/>
    </xf>
    <xf numFmtId="0" fontId="172" fillId="3" borderId="1" xfId="0" applyFont="1" applyFill="1" applyBorder="1"/>
    <xf numFmtId="0" fontId="178" fillId="48" borderId="1" xfId="0" applyFont="1" applyFill="1" applyBorder="1" applyAlignment="1">
      <alignment horizontal="center"/>
    </xf>
    <xf numFmtId="0" fontId="178" fillId="48" borderId="1" xfId="0" applyFont="1" applyFill="1" applyBorder="1" applyAlignment="1">
      <alignment vertical="center" wrapText="1"/>
    </xf>
    <xf numFmtId="0" fontId="178" fillId="48" borderId="1" xfId="0" applyFont="1" applyFill="1" applyBorder="1" applyAlignment="1">
      <alignment horizontal="left" vertical="center"/>
    </xf>
    <xf numFmtId="0" fontId="178" fillId="48" borderId="1" xfId="0" applyFont="1" applyFill="1" applyBorder="1"/>
    <xf numFmtId="0" fontId="178" fillId="48" borderId="1" xfId="0" applyFont="1" applyFill="1" applyBorder="1" applyAlignment="1">
      <alignment horizontal="center" vertical="center"/>
    </xf>
    <xf numFmtId="1" fontId="178" fillId="48" borderId="1" xfId="0" applyNumberFormat="1" applyFont="1" applyFill="1" applyBorder="1" applyAlignment="1">
      <alignment horizontal="center"/>
    </xf>
    <xf numFmtId="260" fontId="8" fillId="48" borderId="1" xfId="1900" applyNumberFormat="1" applyFont="1" applyFill="1" applyBorder="1" applyAlignment="1">
      <alignment horizontal="center" vertical="center" wrapText="1"/>
    </xf>
    <xf numFmtId="260" fontId="5" fillId="48" borderId="1" xfId="1900" applyNumberFormat="1" applyFont="1" applyFill="1" applyBorder="1" applyAlignment="1">
      <alignment horizontal="center" vertical="center" wrapText="1"/>
    </xf>
    <xf numFmtId="260" fontId="178" fillId="48" borderId="1" xfId="1900" applyNumberFormat="1" applyFont="1" applyFill="1" applyBorder="1" applyAlignment="1">
      <alignment horizontal="center" vertical="center" wrapText="1"/>
    </xf>
    <xf numFmtId="43" fontId="178" fillId="48" borderId="1" xfId="1901" applyFont="1" applyFill="1" applyBorder="1" applyAlignment="1">
      <alignment horizontal="center" vertical="center" wrapText="1"/>
    </xf>
    <xf numFmtId="260" fontId="7" fillId="45" borderId="1" xfId="0" applyNumberFormat="1" applyFont="1" applyFill="1" applyBorder="1" applyAlignment="1">
      <alignment vertical="center" wrapText="1"/>
    </xf>
    <xf numFmtId="0" fontId="9" fillId="4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46" borderId="1" xfId="0" applyFont="1" applyFill="1" applyBorder="1" applyAlignment="1">
      <alignment horizontal="center" vertical="center" wrapText="1"/>
    </xf>
    <xf numFmtId="260" fontId="9" fillId="3" borderId="1" xfId="1900" applyNumberFormat="1" applyFont="1" applyFill="1" applyBorder="1" applyAlignment="1">
      <alignment horizontal="center" vertical="center" wrapText="1"/>
    </xf>
    <xf numFmtId="261" fontId="7" fillId="3" borderId="1" xfId="0" applyNumberFormat="1" applyFont="1" applyFill="1" applyBorder="1" applyAlignment="1">
      <alignment horizontal="center" vertical="center" wrapText="1"/>
    </xf>
    <xf numFmtId="261" fontId="7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81" fillId="3" borderId="1" xfId="0" applyFont="1" applyFill="1" applyBorder="1" applyAlignment="1">
      <alignment horizontal="center" vertical="center" wrapText="1"/>
    </xf>
    <xf numFmtId="1" fontId="181" fillId="3" borderId="1" xfId="0" applyNumberFormat="1" applyFont="1" applyFill="1" applyBorder="1" applyAlignment="1">
      <alignment horizontal="center" vertical="center" wrapText="1"/>
    </xf>
    <xf numFmtId="1" fontId="181" fillId="3" borderId="1" xfId="0" quotePrefix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84" fillId="0" borderId="1" xfId="0" applyFont="1" applyBorder="1" applyAlignment="1">
      <alignment horizontal="center" vertical="center" wrapText="1"/>
    </xf>
    <xf numFmtId="260" fontId="5" fillId="47" borderId="1" xfId="0" applyNumberFormat="1" applyFont="1" applyFill="1" applyBorder="1" applyAlignment="1">
      <alignment vertical="center" wrapText="1"/>
    </xf>
    <xf numFmtId="260" fontId="6" fillId="45" borderId="1" xfId="0" applyNumberFormat="1" applyFont="1" applyFill="1" applyBorder="1" applyAlignment="1">
      <alignment vertical="center" wrapText="1"/>
    </xf>
    <xf numFmtId="260" fontId="5" fillId="3" borderId="1" xfId="0" applyNumberFormat="1" applyFont="1" applyFill="1" applyBorder="1" applyAlignment="1">
      <alignment vertical="center" wrapText="1"/>
    </xf>
    <xf numFmtId="0" fontId="5" fillId="46" borderId="1" xfId="0" applyFont="1" applyFill="1" applyBorder="1" applyAlignment="1">
      <alignment horizontal="center" vertical="center" wrapText="1"/>
    </xf>
    <xf numFmtId="0" fontId="5" fillId="46" borderId="1" xfId="0" applyFont="1" applyFill="1" applyBorder="1" applyAlignment="1">
      <alignment horizontal="left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6" fillId="46" borderId="1" xfId="0" applyFont="1" applyFill="1" applyBorder="1" applyAlignment="1">
      <alignment horizontal="center" vertical="center" wrapText="1"/>
    </xf>
    <xf numFmtId="0" fontId="6" fillId="46" borderId="1" xfId="0" applyFont="1" applyFill="1" applyBorder="1" applyAlignment="1">
      <alignment horizontal="left" vertical="center" wrapText="1"/>
    </xf>
    <xf numFmtId="261" fontId="5" fillId="46" borderId="1" xfId="0" applyNumberFormat="1" applyFont="1" applyFill="1" applyBorder="1" applyAlignment="1">
      <alignment horizontal="center" vertical="center" wrapText="1"/>
    </xf>
    <xf numFmtId="260" fontId="5" fillId="3" borderId="1" xfId="190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69" fontId="6" fillId="0" borderId="1" xfId="0" applyNumberFormat="1" applyFont="1" applyBorder="1" applyAlignment="1">
      <alignment horizontal="center" vertical="center"/>
    </xf>
    <xf numFmtId="260" fontId="5" fillId="45" borderId="1" xfId="1900" applyNumberFormat="1" applyFont="1" applyFill="1" applyBorder="1" applyAlignment="1">
      <alignment horizontal="center" vertical="center" wrapText="1"/>
    </xf>
    <xf numFmtId="169" fontId="185" fillId="45" borderId="1" xfId="0" applyNumberFormat="1" applyFont="1" applyFill="1" applyBorder="1" applyAlignment="1">
      <alignment horizontal="center" vertical="center"/>
    </xf>
    <xf numFmtId="0" fontId="186" fillId="45" borderId="1" xfId="0" applyFont="1" applyFill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260" fontId="6" fillId="45" borderId="1" xfId="190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261" fontId="6" fillId="3" borderId="1" xfId="0" applyNumberFormat="1" applyFont="1" applyFill="1" applyBorder="1" applyAlignment="1">
      <alignment horizontal="center" vertical="center" wrapText="1"/>
    </xf>
    <xf numFmtId="43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7" borderId="0" xfId="0" applyFont="1" applyFill="1" applyAlignment="1">
      <alignment horizontal="center" vertical="center" wrapText="1"/>
    </xf>
    <xf numFmtId="261" fontId="6" fillId="0" borderId="0" xfId="0" applyNumberFormat="1" applyFont="1" applyAlignment="1">
      <alignment horizontal="center" vertical="center" wrapText="1"/>
    </xf>
    <xf numFmtId="261" fontId="6" fillId="47" borderId="0" xfId="0" applyNumberFormat="1" applyFont="1" applyFill="1" applyAlignment="1">
      <alignment horizontal="center" vertical="center" wrapText="1"/>
    </xf>
    <xf numFmtId="0" fontId="6" fillId="45" borderId="0" xfId="0" applyFont="1" applyFill="1" applyAlignment="1">
      <alignment horizontal="center" vertical="center" wrapText="1"/>
    </xf>
    <xf numFmtId="0" fontId="6" fillId="4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49" borderId="1" xfId="0" applyFont="1" applyFill="1" applyBorder="1" applyAlignment="1">
      <alignment horizontal="center" vertical="center" wrapText="1"/>
    </xf>
    <xf numFmtId="0" fontId="177" fillId="48" borderId="1" xfId="0" applyFont="1" applyFill="1" applyBorder="1"/>
    <xf numFmtId="170" fontId="178" fillId="3" borderId="1" xfId="1901" applyNumberFormat="1" applyFont="1" applyFill="1" applyBorder="1" applyAlignment="1">
      <alignment horizontal="center" vertical="center" wrapText="1"/>
    </xf>
    <xf numFmtId="0" fontId="181" fillId="45" borderId="1" xfId="0" applyFont="1" applyFill="1" applyBorder="1" applyAlignment="1">
      <alignment horizontal="center" vertical="center" wrapText="1"/>
    </xf>
    <xf numFmtId="260" fontId="180" fillId="3" borderId="1" xfId="1900" applyNumberFormat="1" applyFont="1" applyFill="1" applyBorder="1" applyAlignment="1">
      <alignment horizontal="center" vertical="center" wrapText="1"/>
    </xf>
    <xf numFmtId="0" fontId="181" fillId="48" borderId="1" xfId="0" applyFont="1" applyFill="1" applyBorder="1"/>
    <xf numFmtId="0" fontId="181" fillId="45" borderId="1" xfId="0" applyFont="1" applyFill="1" applyBorder="1"/>
    <xf numFmtId="0" fontId="181" fillId="45" borderId="1" xfId="0" applyFont="1" applyFill="1" applyBorder="1" applyAlignment="1">
      <alignment vertical="center"/>
    </xf>
    <xf numFmtId="260" fontId="187" fillId="45" borderId="1" xfId="1900" applyNumberFormat="1" applyFont="1" applyFill="1" applyBorder="1" applyAlignment="1">
      <alignment horizontal="center" vertical="center" wrapText="1"/>
    </xf>
    <xf numFmtId="260" fontId="181" fillId="45" borderId="1" xfId="1900" applyNumberFormat="1" applyFont="1" applyFill="1" applyBorder="1" applyAlignment="1">
      <alignment horizontal="center" vertical="center" wrapText="1"/>
    </xf>
    <xf numFmtId="0" fontId="7" fillId="45" borderId="1" xfId="0" applyFont="1" applyFill="1" applyBorder="1" applyAlignment="1">
      <alignment horizontal="center" vertical="center" wrapText="1"/>
    </xf>
    <xf numFmtId="0" fontId="6" fillId="45" borderId="2" xfId="0" applyFont="1" applyFill="1" applyBorder="1" applyAlignment="1">
      <alignment horizontal="center" vertical="center" wrapText="1"/>
    </xf>
    <xf numFmtId="260" fontId="178" fillId="0" borderId="4" xfId="1900" applyNumberFormat="1" applyFont="1" applyFill="1" applyBorder="1" applyAlignment="1">
      <alignment horizontal="center" vertical="center" wrapText="1"/>
    </xf>
    <xf numFmtId="0" fontId="177" fillId="0" borderId="35" xfId="0" applyFont="1" applyBorder="1"/>
    <xf numFmtId="0" fontId="177" fillId="0" borderId="15" xfId="0" applyFont="1" applyBorder="1"/>
    <xf numFmtId="0" fontId="0" fillId="45" borderId="1" xfId="0" applyFill="1" applyBorder="1"/>
    <xf numFmtId="1" fontId="177" fillId="0" borderId="1" xfId="0" applyNumberFormat="1" applyFont="1" applyBorder="1" applyAlignment="1">
      <alignment horizontal="center" vertical="center" wrapText="1"/>
    </xf>
    <xf numFmtId="261" fontId="181" fillId="3" borderId="1" xfId="0" applyNumberFormat="1" applyFont="1" applyFill="1" applyBorder="1" applyAlignment="1">
      <alignment horizontal="center" vertical="center" wrapText="1"/>
    </xf>
    <xf numFmtId="261" fontId="178" fillId="4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8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81" fillId="3" borderId="2" xfId="0" applyFont="1" applyFill="1" applyBorder="1" applyAlignment="1">
      <alignment horizontal="center" vertical="center" wrapText="1"/>
    </xf>
    <xf numFmtId="0" fontId="181" fillId="3" borderId="3" xfId="0" applyFont="1" applyFill="1" applyBorder="1" applyAlignment="1">
      <alignment horizontal="center" vertical="center" wrapText="1"/>
    </xf>
    <xf numFmtId="0" fontId="181" fillId="3" borderId="4" xfId="0" applyFont="1" applyFill="1" applyBorder="1" applyAlignment="1">
      <alignment horizontal="center" vertical="center" wrapText="1"/>
    </xf>
    <xf numFmtId="0" fontId="178" fillId="46" borderId="2" xfId="0" applyFont="1" applyFill="1" applyBorder="1" applyAlignment="1">
      <alignment horizontal="center" vertical="center" wrapText="1"/>
    </xf>
    <xf numFmtId="0" fontId="178" fillId="46" borderId="4" xfId="0" applyFont="1" applyFill="1" applyBorder="1" applyAlignment="1">
      <alignment horizontal="center" vertical="center" wrapText="1"/>
    </xf>
    <xf numFmtId="0" fontId="178" fillId="3" borderId="2" xfId="0" applyFont="1" applyFill="1" applyBorder="1" applyAlignment="1">
      <alignment horizontal="center" vertical="center" wrapText="1"/>
    </xf>
    <xf numFmtId="0" fontId="178" fillId="3" borderId="4" xfId="0" applyFont="1" applyFill="1" applyBorder="1" applyAlignment="1">
      <alignment horizontal="center" vertical="center" wrapText="1"/>
    </xf>
  </cellXfs>
  <cellStyles count="1902">
    <cellStyle name="_x0001_" xfId="2"/>
    <cellStyle name="          _x000d__x000a_shell=progman.exe_x000d__x000a_m" xfId="3"/>
    <cellStyle name="_x0001_ 2" xfId="4"/>
    <cellStyle name="_x0001_ 3" xfId="5"/>
    <cellStyle name="_x0001_ 4" xfId="6"/>
    <cellStyle name="_x0001_ 5" xfId="7"/>
    <cellStyle name=",." xfId="8"/>
    <cellStyle name="." xfId="9"/>
    <cellStyle name="??" xfId="10"/>
    <cellStyle name="?? [0.00]_List-dwg" xfId="11"/>
    <cellStyle name="?? [0]" xfId="12"/>
    <cellStyle name="?_x001d_??%U©÷u&amp;H©÷9_x0008_?_x0009_s_x000a__x0007__x0001__x0001_" xfId="13"/>
    <cellStyle name="???? [0.00]_List-dwg" xfId="14"/>
    <cellStyle name="??????????????????? [0]_FTC_OFFER" xfId="15"/>
    <cellStyle name="???????????????????_FTC_OFFER" xfId="16"/>
    <cellStyle name="????_FTC_OFFER" xfId="17"/>
    <cellStyle name="???[0]_Book1" xfId="18"/>
    <cellStyle name="???_???" xfId="19"/>
    <cellStyle name="??_ ??? ???? " xfId="20"/>
    <cellStyle name="??A? [0]_ÿÿÿÿÿÿ_1_¢¬???¢â? " xfId="21"/>
    <cellStyle name="??A?_ÿÿÿÿÿÿ_1_¢¬???¢â? " xfId="22"/>
    <cellStyle name="?¡±¢¥?_?¨ù??¢´¢¥_¢¬???¢â? " xfId="23"/>
    <cellStyle name="?ðÇ%U?&amp;H?_x0008_?s_x000a__x0007__x0001__x0001_" xfId="24"/>
    <cellStyle name="_?_BOOKSHIP" xfId="25"/>
    <cellStyle name="__ [0.00]_PRODUCT DETAIL Q1" xfId="26"/>
    <cellStyle name="__ [0]_1202" xfId="27"/>
    <cellStyle name="__ [0]_1202_Result Red Store Jun" xfId="28"/>
    <cellStyle name="__ [0]_Book1" xfId="29"/>
    <cellStyle name="___(____)______" xfId="30"/>
    <cellStyle name="___[0]_Book1" xfId="31"/>
    <cellStyle name="____ [0.00]_PRODUCT DETAIL Q1" xfId="32"/>
    <cellStyle name="_____PRODUCT DETAIL Q1" xfId="33"/>
    <cellStyle name="____95" xfId="34"/>
    <cellStyle name="____Book1" xfId="35"/>
    <cellStyle name="___1202" xfId="36"/>
    <cellStyle name="___1202_Result Red Store Jun" xfId="37"/>
    <cellStyle name="___1202_Result Red Store Jun_1" xfId="38"/>
    <cellStyle name="___Book1" xfId="39"/>
    <cellStyle name="___Book1_Result Red Store Jun" xfId="40"/>
    <cellStyle name="___kc-elec system check list" xfId="41"/>
    <cellStyle name="___kc-elec system check list_Dat kinh so   -17082012-Nha A Trung TGD" xfId="42"/>
    <cellStyle name="___kc-elec system check list_KINH NHA CO NGA 18-09-12" xfId="43"/>
    <cellStyle name="___kc-elec system check list_thong ke kinh PHONG mau-sxl1" xfId="44"/>
    <cellStyle name="___kc-elec system check list_thong ke kinh Tang mau-sxl1" xfId="45"/>
    <cellStyle name="___PRODUCT DETAIL Q1" xfId="46"/>
    <cellStyle name="_131_138_1311_2006" xfId="47"/>
    <cellStyle name="_3338.2006" xfId="48"/>
    <cellStyle name="_3388 BK SG" xfId="49"/>
    <cellStyle name="_3388 BK SG_BAO GIA-moi" xfId="50"/>
    <cellStyle name="_3388 BK SG_BAO GIA-moi 2" xfId="51"/>
    <cellStyle name="_3388 BK SG_BAO GIA-moi 3" xfId="52"/>
    <cellStyle name="_3388 BK SG_BAO GIA-moi 4" xfId="53"/>
    <cellStyle name="_3388 BK SG_BAO GIA-moi 5" xfId="54"/>
    <cellStyle name="_3388 BK SG_BAO GIA-moi_Dat kinh so   -17082012-Nha A Trung TGD" xfId="55"/>
    <cellStyle name="_3388 BK SG_BAO GIA-moi_KINH NHA CO NGA 18-09-12" xfId="56"/>
    <cellStyle name="_3388 BK SG_BAO GIA-moi_thong ke kinh PHONG mau-sxl1" xfId="57"/>
    <cellStyle name="_3388 BK SG_BAO GIA-moi_thong ke kinh Tang mau-sxl1" xfId="58"/>
    <cellStyle name="_3388 BK SG_CSMH 1C" xfId="59"/>
    <cellStyle name="_3388 BK SG_Sliding door&amp;window SR_SF" xfId="60"/>
    <cellStyle name="_3388 BK SG_Sliding door&amp;window SR_SF 2" xfId="61"/>
    <cellStyle name="_3388 BK SG_Sliding door&amp;window SR_SF 3" xfId="62"/>
    <cellStyle name="_3388 BK SG_Sliding door&amp;window SR_SF 4" xfId="63"/>
    <cellStyle name="_3388 BK SG_Sliding door&amp;window SR_SF 5" xfId="64"/>
    <cellStyle name="_3388 BK SG_Sliding door&amp;window SR_SF_Dat kinh so   -17082012-Nha A Trung TGD" xfId="65"/>
    <cellStyle name="_3388 BK SG_Sliding door&amp;window SR_SF_KINH NHA CO NGA 18-09-12" xfId="66"/>
    <cellStyle name="_3388 BK SG_Sliding door&amp;window SR_SF_thong ke kinh PHONG mau-sxl1" xfId="67"/>
    <cellStyle name="_3388 BK SG_Sliding door&amp;window SR_SF_thong ke kinh Tang mau-sxl1" xfId="68"/>
    <cellStyle name="_5113 BANG KE SG" xfId="69"/>
    <cellStyle name="_5113 BANG KE SG_BAO GIA-moi" xfId="70"/>
    <cellStyle name="_5113 BANG KE SG_BAO GIA-moi 2" xfId="71"/>
    <cellStyle name="_5113 BANG KE SG_BAO GIA-moi 3" xfId="72"/>
    <cellStyle name="_5113 BANG KE SG_BAO GIA-moi 4" xfId="73"/>
    <cellStyle name="_5113 BANG KE SG_BAO GIA-moi 5" xfId="74"/>
    <cellStyle name="_5113 BANG KE SG_BAO GIA-moi_Dat kinh so   -17082012-Nha A Trung TGD" xfId="75"/>
    <cellStyle name="_5113 BANG KE SG_BAO GIA-moi_KINH NHA CO NGA 18-09-12" xfId="76"/>
    <cellStyle name="_5113 BANG KE SG_BAO GIA-moi_thong ke kinh PHONG mau-sxl1" xfId="77"/>
    <cellStyle name="_5113 BANG KE SG_BAO GIA-moi_thong ke kinh Tang mau-sxl1" xfId="78"/>
    <cellStyle name="_5113 BANG KE SG_CSMH 1C" xfId="79"/>
    <cellStyle name="_5113 BANG KE SG_Sliding door&amp;window SR_SF" xfId="80"/>
    <cellStyle name="_5113 BANG KE SG_Sliding door&amp;window SR_SF 2" xfId="81"/>
    <cellStyle name="_5113 BANG KE SG_Sliding door&amp;window SR_SF 3" xfId="82"/>
    <cellStyle name="_5113 BANG KE SG_Sliding door&amp;window SR_SF 4" xfId="83"/>
    <cellStyle name="_5113 BANG KE SG_Sliding door&amp;window SR_SF 5" xfId="84"/>
    <cellStyle name="_5113 BANG KE SG_Sliding door&amp;window SR_SF_Dat kinh so   -17082012-Nha A Trung TGD" xfId="85"/>
    <cellStyle name="_5113 BANG KE SG_Sliding door&amp;window SR_SF_KINH NHA CO NGA 18-09-12" xfId="86"/>
    <cellStyle name="_5113 BANG KE SG_Sliding door&amp;window SR_SF_thong ke kinh PHONG mau-sxl1" xfId="87"/>
    <cellStyle name="_5113 BANG KE SG_Sliding door&amp;window SR_SF_thong ke kinh Tang mau-sxl1" xfId="88"/>
    <cellStyle name="_A5-v4-client's comment" xfId="89"/>
    <cellStyle name="_A5-v4-client's comment_BAO GIA-moi" xfId="90"/>
    <cellStyle name="_A5-v4-client's comment_BAO GIA-moi 2" xfId="91"/>
    <cellStyle name="_A5-v4-client's comment_BAO GIA-moi 3" xfId="92"/>
    <cellStyle name="_A5-v4-client's comment_BAO GIA-moi 4" xfId="93"/>
    <cellStyle name="_A5-v4-client's comment_BAO GIA-moi 5" xfId="94"/>
    <cellStyle name="_A5-v4-client's comment_BAO GIA-moi_Dat kinh so   -17082012-Nha A Trung TGD" xfId="95"/>
    <cellStyle name="_A5-v4-client's comment_BAO GIA-moi_KINH NHA CO NGA 18-09-12" xfId="96"/>
    <cellStyle name="_A5-v4-client's comment_BAO GIA-moi_thong ke kinh PHONG mau-sxl1" xfId="97"/>
    <cellStyle name="_A5-v4-client's comment_BAO GIA-moi_thong ke kinh Tang mau-sxl1" xfId="98"/>
    <cellStyle name="_A5-v4-client's comment_CSMH 1C" xfId="99"/>
    <cellStyle name="_A5-v4-client's comment_Sliding door&amp;window SR_SF" xfId="100"/>
    <cellStyle name="_A5-v4-client's comment_Sliding door&amp;window SR_SF 2" xfId="101"/>
    <cellStyle name="_A5-v4-client's comment_Sliding door&amp;window SR_SF 3" xfId="102"/>
    <cellStyle name="_A5-v4-client's comment_Sliding door&amp;window SR_SF 4" xfId="103"/>
    <cellStyle name="_A5-v4-client's comment_Sliding door&amp;window SR_SF 5" xfId="104"/>
    <cellStyle name="_A5-v4-client's comment_Sliding door&amp;window SR_SF_Dat kinh so   -17082012-Nha A Trung TGD" xfId="105"/>
    <cellStyle name="_A5-v4-client's comment_Sliding door&amp;window SR_SF_KINH NHA CO NGA 18-09-12" xfId="106"/>
    <cellStyle name="_A5-v4-client's comment_Sliding door&amp;window SR_SF_thong ke kinh PHONG mau-sxl1" xfId="107"/>
    <cellStyle name="_A5-v4-client's comment_Sliding door&amp;window SR_SF_thong ke kinh Tang mau-sxl1" xfId="108"/>
    <cellStyle name="_Ac 2160 - BO" xfId="109"/>
    <cellStyle name="_Ac 2160 - BO_BAO GIA-moi" xfId="110"/>
    <cellStyle name="_Ac 2160 - BO_BAO GIA-moi 2" xfId="111"/>
    <cellStyle name="_Ac 2160 - BO_BAO GIA-moi 3" xfId="112"/>
    <cellStyle name="_Ac 2160 - BO_BAO GIA-moi 4" xfId="113"/>
    <cellStyle name="_Ac 2160 - BO_BAO GIA-moi 5" xfId="114"/>
    <cellStyle name="_Ac 2160 - BO_BAO GIA-moi_Dat kinh so   -17082012-Nha A Trung TGD" xfId="115"/>
    <cellStyle name="_Ac 2160 - BO_BAO GIA-moi_KINH NHA CO NGA 18-09-12" xfId="116"/>
    <cellStyle name="_Ac 2160 - BO_BAO GIA-moi_thong ke kinh PHONG mau-sxl1" xfId="117"/>
    <cellStyle name="_Ac 2160 - BO_BAO GIA-moi_thong ke kinh Tang mau-sxl1" xfId="118"/>
    <cellStyle name="_Ac 2160 - BO_CSMH 1C" xfId="119"/>
    <cellStyle name="_Ac 2160 - BO_Sliding door&amp;window SR_SF" xfId="120"/>
    <cellStyle name="_Ac 2160 - BO_Sliding door&amp;window SR_SF 2" xfId="121"/>
    <cellStyle name="_Ac 2160 - BO_Sliding door&amp;window SR_SF 3" xfId="122"/>
    <cellStyle name="_Ac 2160 - BO_Sliding door&amp;window SR_SF 4" xfId="123"/>
    <cellStyle name="_Ac 2160 - BO_Sliding door&amp;window SR_SF 5" xfId="124"/>
    <cellStyle name="_Ac 2160 - BO_Sliding door&amp;window SR_SF_Dat kinh so   -17082012-Nha A Trung TGD" xfId="125"/>
    <cellStyle name="_Ac 2160 - BO_Sliding door&amp;window SR_SF_KINH NHA CO NGA 18-09-12" xfId="126"/>
    <cellStyle name="_Ac 2160 - BO_Sliding door&amp;window SR_SF_thong ke kinh PHONG mau-sxl1" xfId="127"/>
    <cellStyle name="_Ac 2160 - BO_Sliding door&amp;window SR_SF_thong ke kinh Tang mau-sxl1" xfId="128"/>
    <cellStyle name="_Amstan - 31 Dec 06 - T Section" xfId="129"/>
    <cellStyle name="_BAO CAO N01.08 " xfId="130"/>
    <cellStyle name="_BAO CAO N01.09 " xfId="131"/>
    <cellStyle name="_BAO CAO N02.08 " xfId="132"/>
    <cellStyle name="_BAO CAO N04.08 " xfId="133"/>
    <cellStyle name="_BAO CAO N04.09 " xfId="134"/>
    <cellStyle name="_BAO CAO N05.08 " xfId="135"/>
    <cellStyle name="_BAO CAO N06.09 " xfId="136"/>
    <cellStyle name="_BAO CAO N07.08 " xfId="137"/>
    <cellStyle name="_BAO CAO N07.09 " xfId="138"/>
    <cellStyle name="_BAO CAO N08.08 " xfId="139"/>
    <cellStyle name="_BAO CAO N08.09 " xfId="140"/>
    <cellStyle name="_BAO CAO N09.09 " xfId="141"/>
    <cellStyle name="_BAO CAO N10.08 " xfId="142"/>
    <cellStyle name="_BAO CAO N11.09 " xfId="143"/>
    <cellStyle name="_BAO CAO N12.08 " xfId="144"/>
    <cellStyle name="_BAO CAO N12.09 " xfId="145"/>
    <cellStyle name="_BAO CAO N13.09 " xfId="146"/>
    <cellStyle name="_BAO CAO N14.08 " xfId="147"/>
    <cellStyle name="_BAO CAO N14.09 " xfId="148"/>
    <cellStyle name="_BAO CAO N16.08 " xfId="149"/>
    <cellStyle name="_BAO CAO N16.09 " xfId="150"/>
    <cellStyle name="_BAO CAO N17.08 " xfId="151"/>
    <cellStyle name="_BAO CAO N18.08 " xfId="152"/>
    <cellStyle name="_BAO CAO N18.09 " xfId="153"/>
    <cellStyle name="_BAO CAO N19.07 " xfId="154"/>
    <cellStyle name="_BAO CAO N19.08 " xfId="155"/>
    <cellStyle name="_BAO CAO N19.09 " xfId="156"/>
    <cellStyle name="_BAO CAO N20.09 " xfId="157"/>
    <cellStyle name="_BAO CAO N21.07 " xfId="158"/>
    <cellStyle name="_BAO CAO N21.08 " xfId="159"/>
    <cellStyle name="_BAO CAO N21.09 " xfId="160"/>
    <cellStyle name="_BAO CAO N22.07 " xfId="161"/>
    <cellStyle name="_BAO CAO N22.08 " xfId="162"/>
    <cellStyle name="_BAO CAO N22.09 " xfId="163"/>
    <cellStyle name="_BAO CAO N23.08 " xfId="164"/>
    <cellStyle name="_BAO CAO N23.09 " xfId="165"/>
    <cellStyle name="_BAO CAO N24.08 " xfId="166"/>
    <cellStyle name="_BAO CAO N25.07 " xfId="167"/>
    <cellStyle name="_BAO CAO N25.08 " xfId="168"/>
    <cellStyle name="_BAO CAO N26.07 " xfId="169"/>
    <cellStyle name="_BAO CAO N26.08 " xfId="170"/>
    <cellStyle name="_BAO CAO N27.07 " xfId="171"/>
    <cellStyle name="_BAO CAO N28.07 " xfId="172"/>
    <cellStyle name="_BAO CAO N28.08 " xfId="173"/>
    <cellStyle name="_BAO CAO N29.07 " xfId="174"/>
    <cellStyle name="_BAO CAO N29.07 _BAO CAO N17.08 " xfId="175"/>
    <cellStyle name="_BAO CAO N29.08 " xfId="176"/>
    <cellStyle name="_BAO CAO N30.08 " xfId="177"/>
    <cellStyle name="_Book1" xfId="178"/>
    <cellStyle name="_Book1_1" xfId="179"/>
    <cellStyle name="_Book1_BC-QT-WB-dthao" xfId="180"/>
    <cellStyle name="_Book1_Chi_phi_627_theo_thang_08 " xfId="181"/>
    <cellStyle name="_Book1_ITA 100 - TAS - H section - Investment - 31.12.07" xfId="182"/>
    <cellStyle name="_Book1_ITA 100 - TAS - H section - Investment - 31.12.07_BAO GIA-moi" xfId="183"/>
    <cellStyle name="_Book1_ITA 100 - TAS - H section - Investment - 31.12.07_BAO GIA-moi 2" xfId="184"/>
    <cellStyle name="_Book1_ITA 100 - TAS - H section - Investment - 31.12.07_BAO GIA-moi 3" xfId="185"/>
    <cellStyle name="_Book1_ITA 100 - TAS - H section - Investment - 31.12.07_BAO GIA-moi 4" xfId="186"/>
    <cellStyle name="_Book1_ITA 100 - TAS - H section - Investment - 31.12.07_BAO GIA-moi 5" xfId="187"/>
    <cellStyle name="_Book1_ITA 100 - TAS - H section - Investment - 31.12.07_BAO GIA-moi_Dat kinh so   -17082012-Nha A Trung TGD" xfId="188"/>
    <cellStyle name="_Book1_ITA 100 - TAS - H section - Investment - 31.12.07_BAO GIA-moi_KINH NHA CO NGA 18-09-12" xfId="189"/>
    <cellStyle name="_Book1_ITA 100 - TAS - H section - Investment - 31.12.07_BAO GIA-moi_thong ke kinh PHONG mau-sxl1" xfId="190"/>
    <cellStyle name="_Book1_ITA 100 - TAS - H section - Investment - 31.12.07_BAO GIA-moi_thong ke kinh Tang mau-sxl1" xfId="191"/>
    <cellStyle name="_Book1_ITA 100 - TAS - H section - Investment - 31.12.07_CSMH 1C" xfId="192"/>
    <cellStyle name="_Book1_ITA 100 - TAS - H section - Investment - 31.12.07_Sliding door&amp;window SR_SF" xfId="193"/>
    <cellStyle name="_Book1_ITA 100 - TAS - H section - Investment - 31.12.07_Sliding door&amp;window SR_SF 2" xfId="194"/>
    <cellStyle name="_Book1_ITA 100 - TAS - H section - Investment - 31.12.07_Sliding door&amp;window SR_SF 3" xfId="195"/>
    <cellStyle name="_Book1_ITA 100 - TAS - H section - Investment - 31.12.07_Sliding door&amp;window SR_SF 4" xfId="196"/>
    <cellStyle name="_Book1_ITA 100 - TAS - H section - Investment - 31.12.07_Sliding door&amp;window SR_SF 5" xfId="197"/>
    <cellStyle name="_Book1_ITA 100 - TAS - H section - Investment - 31.12.07_Sliding door&amp;window SR_SF_Dat kinh so   -17082012-Nha A Trung TGD" xfId="198"/>
    <cellStyle name="_Book1_ITA 100 - TAS - H section - Investment - 31.12.07_Sliding door&amp;window SR_SF_KINH NHA CO NGA 18-09-12" xfId="199"/>
    <cellStyle name="_Book1_ITA 100 - TAS - H section - Investment - 31.12.07_Sliding door&amp;window SR_SF_thong ke kinh PHONG mau-sxl1" xfId="200"/>
    <cellStyle name="_Book1_ITA 100 - TAS - H section - Investment - 31.12.07_Sliding door&amp;window SR_SF_thong ke kinh Tang mau-sxl1" xfId="201"/>
    <cellStyle name="_Book1_ITA 100 - TAS - S section - Sales-31.12.07" xfId="202"/>
    <cellStyle name="_Book1_ITA 100 - TAS - S section - Sales-31.12.07_BAO GIA-moi" xfId="203"/>
    <cellStyle name="_Book1_ITA 100 - TAS - S section - Sales-31.12.07_BAO GIA-moi 2" xfId="204"/>
    <cellStyle name="_Book1_ITA 100 - TAS - S section - Sales-31.12.07_BAO GIA-moi 3" xfId="205"/>
    <cellStyle name="_Book1_ITA 100 - TAS - S section - Sales-31.12.07_BAO GIA-moi 4" xfId="206"/>
    <cellStyle name="_Book1_ITA 100 - TAS - S section - Sales-31.12.07_BAO GIA-moi 5" xfId="207"/>
    <cellStyle name="_Book1_ITA 100 - TAS - S section - Sales-31.12.07_BAO GIA-moi_Dat kinh so   -17082012-Nha A Trung TGD" xfId="208"/>
    <cellStyle name="_Book1_ITA 100 - TAS - S section - Sales-31.12.07_BAO GIA-moi_KINH NHA CO NGA 18-09-12" xfId="209"/>
    <cellStyle name="_Book1_ITA 100 - TAS - S section - Sales-31.12.07_BAO GIA-moi_thong ke kinh PHONG mau-sxl1" xfId="210"/>
    <cellStyle name="_Book1_ITA 100 - TAS - S section - Sales-31.12.07_BAO GIA-moi_thong ke kinh Tang mau-sxl1" xfId="211"/>
    <cellStyle name="_Book1_ITA 100 - TAS - S section - Sales-31.12.07_CSMH 1C" xfId="212"/>
    <cellStyle name="_Book1_ITA 100 - TAS - S section - Sales-31.12.07_Sliding door&amp;window SR_SF" xfId="213"/>
    <cellStyle name="_Book1_ITA 100 - TAS - S section - Sales-31.12.07_Sliding door&amp;window SR_SF 2" xfId="214"/>
    <cellStyle name="_Book1_ITA 100 - TAS - S section - Sales-31.12.07_Sliding door&amp;window SR_SF 3" xfId="215"/>
    <cellStyle name="_Book1_ITA 100 - TAS - S section - Sales-31.12.07_Sliding door&amp;window SR_SF 4" xfId="216"/>
    <cellStyle name="_Book1_ITA 100 - TAS - S section - Sales-31.12.07_Sliding door&amp;window SR_SF 5" xfId="217"/>
    <cellStyle name="_Book1_ITA 100 - TAS - S section - Sales-31.12.07_Sliding door&amp;window SR_SF_Dat kinh so   -17082012-Nha A Trung TGD" xfId="218"/>
    <cellStyle name="_Book1_ITA 100 - TAS - S section - Sales-31.12.07_Sliding door&amp;window SR_SF_KINH NHA CO NGA 18-09-12" xfId="219"/>
    <cellStyle name="_Book1_ITA 100 - TAS - S section - Sales-31.12.07_Sliding door&amp;window SR_SF_thong ke kinh PHONG mau-sxl1" xfId="220"/>
    <cellStyle name="_Book1_ITA 100 - TAS - S section - Sales-31.12.07_Sliding door&amp;window SR_SF_thong ke kinh Tang mau-sxl1" xfId="221"/>
    <cellStyle name="_Castrol - Sales &amp; AR - NTHH" xfId="222"/>
    <cellStyle name="_Castrol - Sales &amp; AR - NTHH_BAO GIA-moi" xfId="223"/>
    <cellStyle name="_Castrol - Sales &amp; AR - NTHH_BAO GIA-moi 2" xfId="224"/>
    <cellStyle name="_Castrol - Sales &amp; AR - NTHH_BAO GIA-moi 3" xfId="225"/>
    <cellStyle name="_Castrol - Sales &amp; AR - NTHH_BAO GIA-moi 4" xfId="226"/>
    <cellStyle name="_Castrol - Sales &amp; AR - NTHH_BAO GIA-moi 5" xfId="227"/>
    <cellStyle name="_Castrol - Sales &amp; AR - NTHH_BAO GIA-moi_Dat kinh so   -17082012-Nha A Trung TGD" xfId="228"/>
    <cellStyle name="_Castrol - Sales &amp; AR - NTHH_BAO GIA-moi_KINH NHA CO NGA 18-09-12" xfId="229"/>
    <cellStyle name="_Castrol - Sales &amp; AR - NTHH_BAO GIA-moi_thong ke kinh PHONG mau-sxl1" xfId="230"/>
    <cellStyle name="_Castrol - Sales &amp; AR - NTHH_BAO GIA-moi_thong ke kinh Tang mau-sxl1" xfId="231"/>
    <cellStyle name="_Castrol - Sales &amp; AR - NTHH_CSMH 1C" xfId="232"/>
    <cellStyle name="_Castrol - Sales &amp; AR - NTHH_Sliding door&amp;window SR_SF" xfId="233"/>
    <cellStyle name="_Castrol - Sales &amp; AR - NTHH_Sliding door&amp;window SR_SF 2" xfId="234"/>
    <cellStyle name="_Castrol - Sales &amp; AR - NTHH_Sliding door&amp;window SR_SF 3" xfId="235"/>
    <cellStyle name="_Castrol - Sales &amp; AR - NTHH_Sliding door&amp;window SR_SF 4" xfId="236"/>
    <cellStyle name="_Castrol - Sales &amp; AR - NTHH_Sliding door&amp;window SR_SF 5" xfId="237"/>
    <cellStyle name="_Castrol - Sales &amp; AR - NTHH_Sliding door&amp;window SR_SF_Dat kinh so   -17082012-Nha A Trung TGD" xfId="238"/>
    <cellStyle name="_Castrol - Sales &amp; AR - NTHH_Sliding door&amp;window SR_SF_KINH NHA CO NGA 18-09-12" xfId="239"/>
    <cellStyle name="_Castrol - Sales &amp; AR - NTHH_Sliding door&amp;window SR_SF_thong ke kinh PHONG mau-sxl1" xfId="240"/>
    <cellStyle name="_Castrol - Sales &amp; AR - NTHH_Sliding door&amp;window SR_SF_thong ke kinh Tang mau-sxl1" xfId="241"/>
    <cellStyle name="_Castrol - Stock WPs - NTHH" xfId="242"/>
    <cellStyle name="_CDKT-(01-12).2006NEW" xfId="243"/>
    <cellStyle name="_CDKT-(01-12).2006NEW v1" xfId="244"/>
    <cellStyle name="_CDKT-(01-12).2006NEW2" xfId="245"/>
    <cellStyle name="_Chi_phi_627_theo_thang_08 " xfId="246"/>
    <cellStyle name="_Cong bo thong tin tom tat Q42007 " xfId="247"/>
    <cellStyle name="_Cong bo thong tin tom tat Q42007 _BAO GIA-moi" xfId="248"/>
    <cellStyle name="_Cong bo thong tin tom tat Q42007 _BAO GIA-moi 2" xfId="249"/>
    <cellStyle name="_Cong bo thong tin tom tat Q42007 _BAO GIA-moi 3" xfId="250"/>
    <cellStyle name="_Cong bo thong tin tom tat Q42007 _BAO GIA-moi 4" xfId="251"/>
    <cellStyle name="_Cong bo thong tin tom tat Q42007 _BAO GIA-moi 5" xfId="252"/>
    <cellStyle name="_Cong bo thong tin tom tat Q42007 _BAO GIA-moi_Dat kinh so   -17082012-Nha A Trung TGD" xfId="253"/>
    <cellStyle name="_Cong bo thong tin tom tat Q42007 _BAO GIA-moi_KINH NHA CO NGA 18-09-12" xfId="254"/>
    <cellStyle name="_Cong bo thong tin tom tat Q42007 _BAO GIA-moi_thong ke kinh PHONG mau-sxl1" xfId="255"/>
    <cellStyle name="_Cong bo thong tin tom tat Q42007 _BAO GIA-moi_thong ke kinh Tang mau-sxl1" xfId="256"/>
    <cellStyle name="_Cong bo thong tin tom tat Q42007 _CSMH 1C" xfId="257"/>
    <cellStyle name="_Cong bo thong tin tom tat Q42007 _Sliding door&amp;window SR_SF" xfId="258"/>
    <cellStyle name="_Cong bo thong tin tom tat Q42007 _Sliding door&amp;window SR_SF 2" xfId="259"/>
    <cellStyle name="_Cong bo thong tin tom tat Q42007 _Sliding door&amp;window SR_SF 3" xfId="260"/>
    <cellStyle name="_Cong bo thong tin tom tat Q42007 _Sliding door&amp;window SR_SF 4" xfId="261"/>
    <cellStyle name="_Cong bo thong tin tom tat Q42007 _Sliding door&amp;window SR_SF 5" xfId="262"/>
    <cellStyle name="_Cong bo thong tin tom tat Q42007 _Sliding door&amp;window SR_SF_Dat kinh so   -17082012-Nha A Trung TGD" xfId="263"/>
    <cellStyle name="_Cong bo thong tin tom tat Q42007 _Sliding door&amp;window SR_SF_KINH NHA CO NGA 18-09-12" xfId="264"/>
    <cellStyle name="_Cong bo thong tin tom tat Q42007 _Sliding door&amp;window SR_SF_thong ke kinh PHONG mau-sxl1" xfId="265"/>
    <cellStyle name="_Cong bo thong tin tom tat Q42007 _Sliding door&amp;window SR_SF_thong ke kinh Tang mau-sxl1" xfId="266"/>
    <cellStyle name="_Copy of BAO CAO N31.07 " xfId="267"/>
    <cellStyle name="_Copy of Cost - Expanded area" xfId="268"/>
    <cellStyle name="_CS 1 canh mo ra ngoai" xfId="269"/>
    <cellStyle name="_CS 1 canh mo ra ngoai_BAO GIA-moi" xfId="270"/>
    <cellStyle name="_CS 1 canh mo ra ngoai_BAO GIA-moi 2" xfId="271"/>
    <cellStyle name="_CS 1 canh mo ra ngoai_BAO GIA-moi 3" xfId="272"/>
    <cellStyle name="_CS 1 canh mo ra ngoai_BAO GIA-moi 4" xfId="273"/>
    <cellStyle name="_CS 1 canh mo ra ngoai_BAO GIA-moi 5" xfId="274"/>
    <cellStyle name="_CS 1 canh mo ra ngoai_BAO GIA-moi_Dat kinh so   -17082012-Nha A Trung TGD" xfId="275"/>
    <cellStyle name="_CS 1 canh mo ra ngoai_BAO GIA-moi_KINH NHA CO NGA 18-09-12" xfId="276"/>
    <cellStyle name="_CS 1 canh mo ra ngoai_BAO GIA-moi_thong ke kinh PHONG mau-sxl1" xfId="277"/>
    <cellStyle name="_CS 1 canh mo ra ngoai_BAO GIA-moi_thong ke kinh Tang mau-sxl1" xfId="278"/>
    <cellStyle name="_CS 1 canh mo ra ngoai_CSMH 1C" xfId="279"/>
    <cellStyle name="_CS 1 canh mo ra ngoai_Sliding door&amp;window SR_SF" xfId="280"/>
    <cellStyle name="_CS 1 canh mo ra ngoai_Sliding door&amp;window SR_SF 2" xfId="281"/>
    <cellStyle name="_CS 1 canh mo ra ngoai_Sliding door&amp;window SR_SF 3" xfId="282"/>
    <cellStyle name="_CS 1 canh mo ra ngoai_Sliding door&amp;window SR_SF 4" xfId="283"/>
    <cellStyle name="_CS 1 canh mo ra ngoai_Sliding door&amp;window SR_SF 5" xfId="284"/>
    <cellStyle name="_CS 1 canh mo ra ngoai_Sliding door&amp;window SR_SF_Dat kinh so   -17082012-Nha A Trung TGD" xfId="285"/>
    <cellStyle name="_CS 1 canh mo ra ngoai_Sliding door&amp;window SR_SF_KINH NHA CO NGA 18-09-12" xfId="286"/>
    <cellStyle name="_CS 1 canh mo ra ngoai_Sliding door&amp;window SR_SF_thong ke kinh PHONG mau-sxl1" xfId="287"/>
    <cellStyle name="_CS 1 canh mo ra ngoai_Sliding door&amp;window SR_SF_thong ke kinh Tang mau-sxl1" xfId="288"/>
    <cellStyle name="_CS 2 canh" xfId="289"/>
    <cellStyle name="_CS 2 canh_BAO GIA-moi" xfId="290"/>
    <cellStyle name="_CS 2 canh_BAO GIA-moi 2" xfId="291"/>
    <cellStyle name="_CS 2 canh_BAO GIA-moi 3" xfId="292"/>
    <cellStyle name="_CS 2 canh_BAO GIA-moi 4" xfId="293"/>
    <cellStyle name="_CS 2 canh_BAO GIA-moi 5" xfId="294"/>
    <cellStyle name="_CS 2 canh_BAO GIA-moi_Dat kinh so   -17082012-Nha A Trung TGD" xfId="295"/>
    <cellStyle name="_CS 2 canh_BAO GIA-moi_KINH NHA CO NGA 18-09-12" xfId="296"/>
    <cellStyle name="_CS 2 canh_BAO GIA-moi_thong ke kinh PHONG mau-sxl1" xfId="297"/>
    <cellStyle name="_CS 2 canh_BAO GIA-moi_thong ke kinh Tang mau-sxl1" xfId="298"/>
    <cellStyle name="_CS 2 canh_CSMH 1C" xfId="299"/>
    <cellStyle name="_CS 2 canh_Sliding door&amp;window SR_SF" xfId="300"/>
    <cellStyle name="_CS 2 canh_Sliding door&amp;window SR_SF 2" xfId="301"/>
    <cellStyle name="_CS 2 canh_Sliding door&amp;window SR_SF 3" xfId="302"/>
    <cellStyle name="_CS 2 canh_Sliding door&amp;window SR_SF 4" xfId="303"/>
    <cellStyle name="_CS 2 canh_Sliding door&amp;window SR_SF 5" xfId="304"/>
    <cellStyle name="_CS 2 canh_Sliding door&amp;window SR_SF_Dat kinh so   -17082012-Nha A Trung TGD" xfId="305"/>
    <cellStyle name="_CS 2 canh_Sliding door&amp;window SR_SF_KINH NHA CO NGA 18-09-12" xfId="306"/>
    <cellStyle name="_CS 2 canh_Sliding door&amp;window SR_SF_thong ke kinh PHONG mau-sxl1" xfId="307"/>
    <cellStyle name="_CS 2 canh_Sliding door&amp;window SR_SF_thong ke kinh Tang mau-sxl1" xfId="308"/>
    <cellStyle name="_CỬA ĐI 2 cánh - mở lùa" xfId="309"/>
    <cellStyle name="_CỬA ĐI 2 cánh - mở lùa_BAO GIA-moi" xfId="310"/>
    <cellStyle name="_CỬA ĐI 2 cánh - mở lùa_BAO GIA-moi 2" xfId="311"/>
    <cellStyle name="_CỬA ĐI 2 cánh - mở lùa_BAO GIA-moi 3" xfId="312"/>
    <cellStyle name="_CỬA ĐI 2 cánh - mở lùa_BAO GIA-moi 4" xfId="313"/>
    <cellStyle name="_CỬA ĐI 2 cánh - mở lùa_BAO GIA-moi 5" xfId="314"/>
    <cellStyle name="_CỬA ĐI 2 cánh - mở lùa_BAO GIA-moi_Dat kinh so   -17082012-Nha A Trung TGD" xfId="315"/>
    <cellStyle name="_CỬA ĐI 2 cánh - mở lùa_BAO GIA-moi_KINH NHA CO NGA 18-09-12" xfId="316"/>
    <cellStyle name="_CỬA ĐI 2 cánh - mở lùa_BAO GIA-moi_thong ke kinh PHONG mau-sxl1" xfId="317"/>
    <cellStyle name="_CỬA ĐI 2 cánh - mở lùa_BAO GIA-moi_thong ke kinh Tang mau-sxl1" xfId="318"/>
    <cellStyle name="_CỬA ĐI 2 cánh - mở lùa_CSMH 1C" xfId="319"/>
    <cellStyle name="_CỬA ĐI 2 cánh - mở lùa_Sliding door&amp;window SR_SF" xfId="320"/>
    <cellStyle name="_CỬA ĐI 2 cánh - mở lùa_Sliding door&amp;window SR_SF 2" xfId="321"/>
    <cellStyle name="_CỬA ĐI 2 cánh - mở lùa_Sliding door&amp;window SR_SF 3" xfId="322"/>
    <cellStyle name="_CỬA ĐI 2 cánh - mở lùa_Sliding door&amp;window SR_SF 4" xfId="323"/>
    <cellStyle name="_CỬA ĐI 2 cánh - mở lùa_Sliding door&amp;window SR_SF 5" xfId="324"/>
    <cellStyle name="_CỬA ĐI 2 cánh - mở lùa_Sliding door&amp;window SR_SF_Dat kinh so   -17082012-Nha A Trung TGD" xfId="325"/>
    <cellStyle name="_CỬA ĐI 2 cánh - mở lùa_Sliding door&amp;window SR_SF_KINH NHA CO NGA 18-09-12" xfId="326"/>
    <cellStyle name="_CỬA ĐI 2 cánh - mở lùa_Sliding door&amp;window SR_SF_thong ke kinh PHONG mau-sxl1" xfId="327"/>
    <cellStyle name="_CỬA ĐI 2 cánh - mở lùa_Sliding door&amp;window SR_SF_thong ke kinh Tang mau-sxl1" xfId="328"/>
    <cellStyle name="_CỬA ĐI 2 canh- mo quay" xfId="329"/>
    <cellStyle name="_CỬA ĐI 2 canh- mo quay_BAO GIA-moi" xfId="330"/>
    <cellStyle name="_CỬA ĐI 2 canh- mo quay_BAO GIA-moi 2" xfId="331"/>
    <cellStyle name="_CỬA ĐI 2 canh- mo quay_BAO GIA-moi 3" xfId="332"/>
    <cellStyle name="_CỬA ĐI 2 canh- mo quay_BAO GIA-moi 4" xfId="333"/>
    <cellStyle name="_CỬA ĐI 2 canh- mo quay_BAO GIA-moi 5" xfId="334"/>
    <cellStyle name="_CỬA ĐI 2 canh- mo quay_BAO GIA-moi_Dat kinh so   -17082012-Nha A Trung TGD" xfId="335"/>
    <cellStyle name="_CỬA ĐI 2 canh- mo quay_BAO GIA-moi_KINH NHA CO NGA 18-09-12" xfId="336"/>
    <cellStyle name="_CỬA ĐI 2 canh- mo quay_BAO GIA-moi_thong ke kinh PHONG mau-sxl1" xfId="337"/>
    <cellStyle name="_CỬA ĐI 2 canh- mo quay_BAO GIA-moi_thong ke kinh Tang mau-sxl1" xfId="338"/>
    <cellStyle name="_CỬA ĐI 2 canh- mo quay_CSMH 1C" xfId="339"/>
    <cellStyle name="_CỬA ĐI 2 canh- mo quay_Sliding door&amp;window SR_SF" xfId="340"/>
    <cellStyle name="_CỬA ĐI 2 canh- mo quay_Sliding door&amp;window SR_SF 2" xfId="341"/>
    <cellStyle name="_CỬA ĐI 2 canh- mo quay_Sliding door&amp;window SR_SF 3" xfId="342"/>
    <cellStyle name="_CỬA ĐI 2 canh- mo quay_Sliding door&amp;window SR_SF 4" xfId="343"/>
    <cellStyle name="_CỬA ĐI 2 canh- mo quay_Sliding door&amp;window SR_SF 5" xfId="344"/>
    <cellStyle name="_CỬA ĐI 2 canh- mo quay_Sliding door&amp;window SR_SF_Dat kinh so   -17082012-Nha A Trung TGD" xfId="345"/>
    <cellStyle name="_CỬA ĐI 2 canh- mo quay_Sliding door&amp;window SR_SF_KINH NHA CO NGA 18-09-12" xfId="346"/>
    <cellStyle name="_CỬA ĐI 2 canh- mo quay_Sliding door&amp;window SR_SF_thong ke kinh PHONG mau-sxl1" xfId="347"/>
    <cellStyle name="_CỬA ĐI 2 canh- mo quay_Sliding door&amp;window SR_SF_thong ke kinh Tang mau-sxl1" xfId="348"/>
    <cellStyle name="_CỬA SỔ 2 CÁNH (ĐÃ LUỘC ĐỒ)" xfId="349"/>
    <cellStyle name="_CỬA SỔ 2 CÁNH (ĐÃ LUỘC ĐỒ)_BAO GIA-moi" xfId="350"/>
    <cellStyle name="_CỬA SỔ 2 CÁNH (ĐÃ LUỘC ĐỒ)_BAO GIA-moi 2" xfId="351"/>
    <cellStyle name="_CỬA SỔ 2 CÁNH (ĐÃ LUỘC ĐỒ)_BAO GIA-moi 3" xfId="352"/>
    <cellStyle name="_CỬA SỔ 2 CÁNH (ĐÃ LUỘC ĐỒ)_BAO GIA-moi 4" xfId="353"/>
    <cellStyle name="_CỬA SỔ 2 CÁNH (ĐÃ LUỘC ĐỒ)_BAO GIA-moi 5" xfId="354"/>
    <cellStyle name="_CỬA SỔ 2 CÁNH (ĐÃ LUỘC ĐỒ)_BAO GIA-moi_Dat kinh so   -17082012-Nha A Trung TGD" xfId="355"/>
    <cellStyle name="_CỬA SỔ 2 CÁNH (ĐÃ LUỘC ĐỒ)_BAO GIA-moi_KINH NHA CO NGA 18-09-12" xfId="356"/>
    <cellStyle name="_CỬA SỔ 2 CÁNH (ĐÃ LUỘC ĐỒ)_BAO GIA-moi_thong ke kinh PHONG mau-sxl1" xfId="357"/>
    <cellStyle name="_CỬA SỔ 2 CÁNH (ĐÃ LUỘC ĐỒ)_BAO GIA-moi_thong ke kinh Tang mau-sxl1" xfId="358"/>
    <cellStyle name="_CỬA SỔ 2 CÁNH (ĐÃ LUỘC ĐỒ)_CSMH 1C" xfId="359"/>
    <cellStyle name="_CỬA SỔ 2 CÁNH (ĐÃ LUỘC ĐỒ)_Sliding door&amp;window SR_SF" xfId="360"/>
    <cellStyle name="_CỬA SỔ 2 CÁNH (ĐÃ LUỘC ĐỒ)_Sliding door&amp;window SR_SF 2" xfId="361"/>
    <cellStyle name="_CỬA SỔ 2 CÁNH (ĐÃ LUỘC ĐỒ)_Sliding door&amp;window SR_SF 3" xfId="362"/>
    <cellStyle name="_CỬA SỔ 2 CÁNH (ĐÃ LUỘC ĐỒ)_Sliding door&amp;window SR_SF 4" xfId="363"/>
    <cellStyle name="_CỬA SỔ 2 CÁNH (ĐÃ LUỘC ĐỒ)_Sliding door&amp;window SR_SF 5" xfId="364"/>
    <cellStyle name="_CỬA SỔ 2 CÁNH (ĐÃ LUỘC ĐỒ)_Sliding door&amp;window SR_SF_Dat kinh so   -17082012-Nha A Trung TGD" xfId="365"/>
    <cellStyle name="_CỬA SỔ 2 CÁNH (ĐÃ LUỘC ĐỒ)_Sliding door&amp;window SR_SF_KINH NHA CO NGA 18-09-12" xfId="366"/>
    <cellStyle name="_CỬA SỔ 2 CÁNH (ĐÃ LUỘC ĐỒ)_Sliding door&amp;window SR_SF_thong ke kinh PHONG mau-sxl1" xfId="367"/>
    <cellStyle name="_CỬA SỔ 2 CÁNH (ĐÃ LUỘC ĐỒ)_Sliding door&amp;window SR_SF_thong ke kinh Tang mau-sxl1" xfId="368"/>
    <cellStyle name="_cua so lua 2 canh" xfId="369"/>
    <cellStyle name="_cua so lua 2 canh_BAO GIA-moi" xfId="370"/>
    <cellStyle name="_cua so lua 2 canh_BAO GIA-moi 2" xfId="371"/>
    <cellStyle name="_cua so lua 2 canh_BAO GIA-moi 3" xfId="372"/>
    <cellStyle name="_cua so lua 2 canh_BAO GIA-moi 4" xfId="373"/>
    <cellStyle name="_cua so lua 2 canh_BAO GIA-moi 5" xfId="374"/>
    <cellStyle name="_cua so lua 2 canh_BAO GIA-moi_Dat kinh so   -17082012-Nha A Trung TGD" xfId="375"/>
    <cellStyle name="_cua so lua 2 canh_BAO GIA-moi_KINH NHA CO NGA 18-09-12" xfId="376"/>
    <cellStyle name="_cua so lua 2 canh_BAO GIA-moi_thong ke kinh PHONG mau-sxl1" xfId="377"/>
    <cellStyle name="_cua so lua 2 canh_BAO GIA-moi_thong ke kinh Tang mau-sxl1" xfId="378"/>
    <cellStyle name="_cua so lua 2 canh_CSMH 1C" xfId="379"/>
    <cellStyle name="_cua so lua 2 canh_Sliding door&amp;window SR_SF" xfId="380"/>
    <cellStyle name="_cua so lua 2 canh_Sliding door&amp;window SR_SF 2" xfId="381"/>
    <cellStyle name="_cua so lua 2 canh_Sliding door&amp;window SR_SF 3" xfId="382"/>
    <cellStyle name="_cua so lua 2 canh_Sliding door&amp;window SR_SF 4" xfId="383"/>
    <cellStyle name="_cua so lua 2 canh_Sliding door&amp;window SR_SF 5" xfId="384"/>
    <cellStyle name="_cua so lua 2 canh_Sliding door&amp;window SR_SF_Dat kinh so   -17082012-Nha A Trung TGD" xfId="385"/>
    <cellStyle name="_cua so lua 2 canh_Sliding door&amp;window SR_SF_KINH NHA CO NGA 18-09-12" xfId="386"/>
    <cellStyle name="_cua so lua 2 canh_Sliding door&amp;window SR_SF_thong ke kinh PHONG mau-sxl1" xfId="387"/>
    <cellStyle name="_cua so lua 2 canh_Sliding door&amp;window SR_SF_thong ke kinh Tang mau-sxl1" xfId="388"/>
    <cellStyle name="_E section" xfId="389"/>
    <cellStyle name="_EXPENSES-1206" xfId="390"/>
    <cellStyle name="_EXPENSES-1206_BAO GIA-moi" xfId="391"/>
    <cellStyle name="_EXPENSES-1206_BAO GIA-moi 2" xfId="392"/>
    <cellStyle name="_EXPENSES-1206_BAO GIA-moi 3" xfId="393"/>
    <cellStyle name="_EXPENSES-1206_BAO GIA-moi 4" xfId="394"/>
    <cellStyle name="_EXPENSES-1206_BAO GIA-moi 5" xfId="395"/>
    <cellStyle name="_EXPENSES-1206_BAO GIA-moi_Dat kinh so   -17082012-Nha A Trung TGD" xfId="396"/>
    <cellStyle name="_EXPENSES-1206_BAO GIA-moi_KINH NHA CO NGA 18-09-12" xfId="397"/>
    <cellStyle name="_EXPENSES-1206_BAO GIA-moi_thong ke kinh PHONG mau-sxl1" xfId="398"/>
    <cellStyle name="_EXPENSES-1206_BAO GIA-moi_thong ke kinh Tang mau-sxl1" xfId="399"/>
    <cellStyle name="_EXPENSES-1206_CSMH 1C" xfId="400"/>
    <cellStyle name="_EXPENSES-1206_Sliding door&amp;window SR_SF" xfId="401"/>
    <cellStyle name="_EXPENSES-1206_Sliding door&amp;window SR_SF 2" xfId="402"/>
    <cellStyle name="_EXPENSES-1206_Sliding door&amp;window SR_SF 3" xfId="403"/>
    <cellStyle name="_EXPENSES-1206_Sliding door&amp;window SR_SF 4" xfId="404"/>
    <cellStyle name="_EXPENSES-1206_Sliding door&amp;window SR_SF 5" xfId="405"/>
    <cellStyle name="_EXPENSES-1206_Sliding door&amp;window SR_SF_Dat kinh so   -17082012-Nha A Trung TGD" xfId="406"/>
    <cellStyle name="_EXPENSES-1206_Sliding door&amp;window SR_SF_KINH NHA CO NGA 18-09-12" xfId="407"/>
    <cellStyle name="_EXPENSES-1206_Sliding door&amp;window SR_SF_thong ke kinh PHONG mau-sxl1" xfId="408"/>
    <cellStyle name="_EXPENSES-1206_Sliding door&amp;window SR_SF_thong ke kinh Tang mau-sxl1" xfId="409"/>
    <cellStyle name="_F. Stock-v3.2005.HTE" xfId="410"/>
    <cellStyle name="_F. Stock-v3.2005.HTE_BAO GIA-moi" xfId="411"/>
    <cellStyle name="_F. Stock-v3.2005.HTE_BAO GIA-moi 2" xfId="412"/>
    <cellStyle name="_F. Stock-v3.2005.HTE_BAO GIA-moi 3" xfId="413"/>
    <cellStyle name="_F. Stock-v3.2005.HTE_BAO GIA-moi 4" xfId="414"/>
    <cellStyle name="_F. Stock-v3.2005.HTE_BAO GIA-moi 5" xfId="415"/>
    <cellStyle name="_F. Stock-v3.2005.HTE_BAO GIA-moi_Dat kinh so   -17082012-Nha A Trung TGD" xfId="416"/>
    <cellStyle name="_F. Stock-v3.2005.HTE_BAO GIA-moi_KINH NHA CO NGA 18-09-12" xfId="417"/>
    <cellStyle name="_F. Stock-v3.2005.HTE_BAO GIA-moi_thong ke kinh PHONG mau-sxl1" xfId="418"/>
    <cellStyle name="_F. Stock-v3.2005.HTE_BAO GIA-moi_thong ke kinh Tang mau-sxl1" xfId="419"/>
    <cellStyle name="_F. Stock-v3.2005.HTE_CSMH 1C" xfId="420"/>
    <cellStyle name="_F. Stock-v3.2005.HTE_Sliding door&amp;window SR_SF" xfId="421"/>
    <cellStyle name="_F. Stock-v3.2005.HTE_Sliding door&amp;window SR_SF 2" xfId="422"/>
    <cellStyle name="_F. Stock-v3.2005.HTE_Sliding door&amp;window SR_SF 3" xfId="423"/>
    <cellStyle name="_F. Stock-v3.2005.HTE_Sliding door&amp;window SR_SF 4" xfId="424"/>
    <cellStyle name="_F. Stock-v3.2005.HTE_Sliding door&amp;window SR_SF 5" xfId="425"/>
    <cellStyle name="_F. Stock-v3.2005.HTE_Sliding door&amp;window SR_SF_Dat kinh so   -17082012-Nha A Trung TGD" xfId="426"/>
    <cellStyle name="_F. Stock-v3.2005.HTE_Sliding door&amp;window SR_SF_KINH NHA CO NGA 18-09-12" xfId="427"/>
    <cellStyle name="_F. Stock-v3.2005.HTE_Sliding door&amp;window SR_SF_thong ke kinh PHONG mau-sxl1" xfId="428"/>
    <cellStyle name="_F. Stock-v3.2005.HTE_Sliding door&amp;window SR_SF_thong ke kinh Tang mau-sxl1" xfId="429"/>
    <cellStyle name="_Fixed Assets WPs 2006 v2" xfId="430"/>
    <cellStyle name="_Fixed Assets WPs 2006 v2_BAO GIA-moi" xfId="431"/>
    <cellStyle name="_Fixed Assets WPs 2006 v2_Casement door" xfId="432"/>
    <cellStyle name="_Fixed Assets WPs 2006 v2_Casement window" xfId="433"/>
    <cellStyle name="_Fixed Assets WPs 2006 v2_Sliding door&amp;window SR_SF" xfId="434"/>
    <cellStyle name="_FS 31 Dec 2006" xfId="435"/>
    <cellStyle name="_FS 31 Dec 2006_BAO GIA-moi" xfId="436"/>
    <cellStyle name="_FS 31 Dec 2006_BAO GIA-moi 2" xfId="437"/>
    <cellStyle name="_FS 31 Dec 2006_BAO GIA-moi 3" xfId="438"/>
    <cellStyle name="_FS 31 Dec 2006_BAO GIA-moi 4" xfId="439"/>
    <cellStyle name="_FS 31 Dec 2006_BAO GIA-moi 5" xfId="440"/>
    <cellStyle name="_FS 31 Dec 2006_BAO GIA-moi_Dat kinh so   -17082012-Nha A Trung TGD" xfId="441"/>
    <cellStyle name="_FS 31 Dec 2006_BAO GIA-moi_KINH NHA CO NGA 18-09-12" xfId="442"/>
    <cellStyle name="_FS 31 Dec 2006_BAO GIA-moi_thong ke kinh PHONG mau-sxl1" xfId="443"/>
    <cellStyle name="_FS 31 Dec 2006_BAO GIA-moi_thong ke kinh Tang mau-sxl1" xfId="444"/>
    <cellStyle name="_FS 31 Dec 2006_CSMH 1C" xfId="445"/>
    <cellStyle name="_FS 31 Dec 2006_Sliding door&amp;window SR_SF" xfId="446"/>
    <cellStyle name="_FS 31 Dec 2006_Sliding door&amp;window SR_SF 2" xfId="447"/>
    <cellStyle name="_FS 31 Dec 2006_Sliding door&amp;window SR_SF 3" xfId="448"/>
    <cellStyle name="_FS 31 Dec 2006_Sliding door&amp;window SR_SF 4" xfId="449"/>
    <cellStyle name="_FS 31 Dec 2006_Sliding door&amp;window SR_SF 5" xfId="450"/>
    <cellStyle name="_FS 31 Dec 2006_Sliding door&amp;window SR_SF_Dat kinh so   -17082012-Nha A Trung TGD" xfId="451"/>
    <cellStyle name="_FS 31 Dec 2006_Sliding door&amp;window SR_SF_KINH NHA CO NGA 18-09-12" xfId="452"/>
    <cellStyle name="_FS 31 Dec 2006_Sliding door&amp;window SR_SF_thong ke kinh PHONG mau-sxl1" xfId="453"/>
    <cellStyle name="_FS 31 Dec 2006_Sliding door&amp;window SR_SF_thong ke kinh Tang mau-sxl1" xfId="454"/>
    <cellStyle name="_Fsection" xfId="455"/>
    <cellStyle name="_G section_advance to employee 141-05" xfId="456"/>
    <cellStyle name="_HAN SU DUNG" xfId="457"/>
    <cellStyle name="_Harada - Taxations 311206 - v1" xfId="458"/>
    <cellStyle name="_Harada - Taxations 311206 - v1_BAO GIA-moi" xfId="459"/>
    <cellStyle name="_Harada - Taxations 311206 - v1_Casement door" xfId="460"/>
    <cellStyle name="_Harada - Taxations 311206 - v1_Casement window" xfId="461"/>
    <cellStyle name="_Harada - Taxations 311206 - v1_Sliding door&amp;window SR_SF" xfId="462"/>
    <cellStyle name="_HoSoQTThue2006" xfId="463"/>
    <cellStyle name="_HoSoQTThue2006 v1" xfId="464"/>
    <cellStyle name="_HoSoQTThue2006_11h_30032007_sent EY" xfId="465"/>
    <cellStyle name="_ICP - WTB 31 Dec 06" xfId="466"/>
    <cellStyle name="_ICP -SAD 2006" xfId="467"/>
    <cellStyle name="_ICP -SAD 2006_BAO GIA-moi" xfId="468"/>
    <cellStyle name="_ICP -SAD 2006_BAO GIA-moi 2" xfId="469"/>
    <cellStyle name="_ICP -SAD 2006_BAO GIA-moi 3" xfId="470"/>
    <cellStyle name="_ICP -SAD 2006_BAO GIA-moi 4" xfId="471"/>
    <cellStyle name="_ICP -SAD 2006_BAO GIA-moi 5" xfId="472"/>
    <cellStyle name="_ICP -SAD 2006_BAO GIA-moi_Dat kinh so   -17082012-Nha A Trung TGD" xfId="473"/>
    <cellStyle name="_ICP -SAD 2006_BAO GIA-moi_KINH NHA CO NGA 18-09-12" xfId="474"/>
    <cellStyle name="_ICP -SAD 2006_BAO GIA-moi_thong ke kinh PHONG mau-sxl1" xfId="475"/>
    <cellStyle name="_ICP -SAD 2006_BAO GIA-moi_thong ke kinh Tang mau-sxl1" xfId="476"/>
    <cellStyle name="_ICP -SAD 2006_CSMH 1C" xfId="477"/>
    <cellStyle name="_ICP -SAD 2006_Sliding door&amp;window SR_SF" xfId="478"/>
    <cellStyle name="_ICP -SAD 2006_Sliding door&amp;window SR_SF 2" xfId="479"/>
    <cellStyle name="_ICP -SAD 2006_Sliding door&amp;window SR_SF 3" xfId="480"/>
    <cellStyle name="_ICP -SAD 2006_Sliding door&amp;window SR_SF 4" xfId="481"/>
    <cellStyle name="_ICP -SAD 2006_Sliding door&amp;window SR_SF 5" xfId="482"/>
    <cellStyle name="_ICP -SAD 2006_Sliding door&amp;window SR_SF_Dat kinh so   -17082012-Nha A Trung TGD" xfId="483"/>
    <cellStyle name="_ICP -SAD 2006_Sliding door&amp;window SR_SF_KINH NHA CO NGA 18-09-12" xfId="484"/>
    <cellStyle name="_ICP -SAD 2006_Sliding door&amp;window SR_SF_thong ke kinh PHONG mau-sxl1" xfId="485"/>
    <cellStyle name="_ICP -SAD 2006_Sliding door&amp;window SR_SF_thong ke kinh Tang mau-sxl1" xfId="486"/>
    <cellStyle name="_Intangible Assets detail WPs v2" xfId="487"/>
    <cellStyle name="_Intangible Assets detail WPs v2_BAO GIA-moi" xfId="488"/>
    <cellStyle name="_Intangible Assets detail WPs v2_Casement door" xfId="489"/>
    <cellStyle name="_Intangible Assets detail WPs v2_Casement window" xfId="490"/>
    <cellStyle name="_Intangible Assets detail WPs v2_Sliding door&amp;window SR_SF" xfId="491"/>
    <cellStyle name="_KD - Stock WPs - NTHH" xfId="492"/>
    <cellStyle name="_KD - Stock WPs - NTHH_BAO GIA-moi" xfId="493"/>
    <cellStyle name="_KD - Stock WPs - NTHH_BAO GIA-moi 2" xfId="494"/>
    <cellStyle name="_KD - Stock WPs - NTHH_BAO GIA-moi 3" xfId="495"/>
    <cellStyle name="_KD - Stock WPs - NTHH_BAO GIA-moi 4" xfId="496"/>
    <cellStyle name="_KD - Stock WPs - NTHH_BAO GIA-moi 5" xfId="497"/>
    <cellStyle name="_KD - Stock WPs - NTHH_BAO GIA-moi_Dat kinh so   -17082012-Nha A Trung TGD" xfId="498"/>
    <cellStyle name="_KD - Stock WPs - NTHH_BAO GIA-moi_KINH NHA CO NGA 18-09-12" xfId="499"/>
    <cellStyle name="_KD - Stock WPs - NTHH_BAO GIA-moi_thong ke kinh PHONG mau-sxl1" xfId="500"/>
    <cellStyle name="_KD - Stock WPs - NTHH_BAO GIA-moi_thong ke kinh Tang mau-sxl1" xfId="501"/>
    <cellStyle name="_KD - Stock WPs - NTHH_CSMH 1C" xfId="502"/>
    <cellStyle name="_KD - Stock WPs - NTHH_Sliding door&amp;window SR_SF" xfId="503"/>
    <cellStyle name="_KD - Stock WPs - NTHH_Sliding door&amp;window SR_SF 2" xfId="504"/>
    <cellStyle name="_KD - Stock WPs - NTHH_Sliding door&amp;window SR_SF 3" xfId="505"/>
    <cellStyle name="_KD - Stock WPs - NTHH_Sliding door&amp;window SR_SF 4" xfId="506"/>
    <cellStyle name="_KD - Stock WPs - NTHH_Sliding door&amp;window SR_SF 5" xfId="507"/>
    <cellStyle name="_KD - Stock WPs - NTHH_Sliding door&amp;window SR_SF_Dat kinh so   -17082012-Nha A Trung TGD" xfId="508"/>
    <cellStyle name="_KD - Stock WPs - NTHH_Sliding door&amp;window SR_SF_KINH NHA CO NGA 18-09-12" xfId="509"/>
    <cellStyle name="_KD - Stock WPs - NTHH_Sliding door&amp;window SR_SF_thong ke kinh PHONG mau-sxl1" xfId="510"/>
    <cellStyle name="_KD - Stock WPs - NTHH_Sliding door&amp;window SR_SF_thong ke kinh Tang mau-sxl1" xfId="511"/>
    <cellStyle name="_KT (2)" xfId="512"/>
    <cellStyle name="_KT (2)_1" xfId="513"/>
    <cellStyle name="_KT (2)_1_bao cao ton chi tiet tuan 23-06" xfId="514"/>
    <cellStyle name="_KT (2)_1_Chi_phi_627_theo_thang_08 " xfId="515"/>
    <cellStyle name="_KT (2)_1_Chi_phi_627_theo_thang_08  2" xfId="516"/>
    <cellStyle name="_KT (2)_1_Chi_phi_627_theo_thang_08  3" xfId="517"/>
    <cellStyle name="_KT (2)_1_Chi_phi_627_theo_thang_08  4" xfId="518"/>
    <cellStyle name="_KT (2)_1_Chi_phi_627_theo_thang_08  5" xfId="519"/>
    <cellStyle name="_KT (2)_1_ITA 100 - TAS - H section - Investment - 31.12.07" xfId="520"/>
    <cellStyle name="_KT (2)_1_ITA 100 - TAS - H section - Investment - 31.12.07 2" xfId="521"/>
    <cellStyle name="_KT (2)_1_ITA 100 - TAS - H section - Investment - 31.12.07 3" xfId="522"/>
    <cellStyle name="_KT (2)_1_ITA 100 - TAS - H section - Investment - 31.12.07 4" xfId="523"/>
    <cellStyle name="_KT (2)_1_ITA 100 - TAS - H section - Investment - 31.12.07 5" xfId="524"/>
    <cellStyle name="_KT (2)_1_ITA 100 - TAS - S section - Sales-31.12.07" xfId="525"/>
    <cellStyle name="_KT (2)_1_ITA 100 - TAS - S section - Sales-31.12.07 2" xfId="526"/>
    <cellStyle name="_KT (2)_1_ITA 100 - TAS - S section - Sales-31.12.07 3" xfId="527"/>
    <cellStyle name="_KT (2)_1_ITA 100 - TAS - S section - Sales-31.12.07 4" xfId="528"/>
    <cellStyle name="_KT (2)_1_ITA 100 - TAS - S section - Sales-31.12.07 5" xfId="529"/>
    <cellStyle name="_KT (2)_1_Lora-tungchau" xfId="530"/>
    <cellStyle name="_KT (2)_1_Qt-HT3PQ1(CauKho)" xfId="531"/>
    <cellStyle name="_KT (2)_2" xfId="532"/>
    <cellStyle name="_KT (2)_2_TG-TH" xfId="533"/>
    <cellStyle name="_KT (2)_2_TG-TH_BAO CAO KLCT PT2000" xfId="534"/>
    <cellStyle name="_KT (2)_2_TG-TH_BAO CAO PT2000" xfId="535"/>
    <cellStyle name="_KT (2)_2_TG-TH_BAO CAO PT2000_Book1" xfId="536"/>
    <cellStyle name="_KT (2)_2_TG-TH_Bao cao XDCB 2001 - T11 KH dieu chinh 20-11-THAI" xfId="537"/>
    <cellStyle name="_KT (2)_2_TG-TH_Book1" xfId="538"/>
    <cellStyle name="_KT (2)_2_TG-TH_Book1_1" xfId="539"/>
    <cellStyle name="_KT (2)_2_TG-TH_Book1_2" xfId="540"/>
    <cellStyle name="_KT (2)_2_TG-TH_Book1_3" xfId="541"/>
    <cellStyle name="_KT (2)_2_TG-TH_Book1_4" xfId="542"/>
    <cellStyle name="_KT (2)_2_TG-TH_Chi_phi_627_theo_thang_08 " xfId="543"/>
    <cellStyle name="_KT (2)_2_TG-TH_DTCDT MR.2N110.HOCMON.TDTOAN.CCUNG" xfId="544"/>
    <cellStyle name="_KT (2)_2_TG-TH_ITA 100 - TAS - H section - Investment - 31.12.07" xfId="545"/>
    <cellStyle name="_KT (2)_2_TG-TH_ITA 100 - TAS - S section - Sales-31.12.07" xfId="546"/>
    <cellStyle name="_KT (2)_2_TG-TH_Lora-tungchau" xfId="547"/>
    <cellStyle name="_KT (2)_2_TG-TH_PGIA-phieu tham tra Kho bac" xfId="548"/>
    <cellStyle name="_KT (2)_2_TG-TH_PT02-02" xfId="549"/>
    <cellStyle name="_KT (2)_2_TG-TH_PT02-02_Book1" xfId="550"/>
    <cellStyle name="_KT (2)_2_TG-TH_PT02-03" xfId="551"/>
    <cellStyle name="_KT (2)_2_TG-TH_PT02-03_Book1" xfId="552"/>
    <cellStyle name="_KT (2)_2_TG-TH_Qt-HT3PQ1(CauKho)" xfId="553"/>
    <cellStyle name="_KT (2)_3" xfId="554"/>
    <cellStyle name="_KT (2)_3_TG-TH" xfId="555"/>
    <cellStyle name="_KT (2)_3_TG-TH_Book1" xfId="556"/>
    <cellStyle name="_KT (2)_3_TG-TH_Book1_1" xfId="557"/>
    <cellStyle name="_KT (2)_3_TG-TH_Book1_BC-QT-WB-dthao" xfId="558"/>
    <cellStyle name="_KT (2)_3_TG-TH_ITA 100 - TAS - H section - Investment - 31.12.07" xfId="559"/>
    <cellStyle name="_KT (2)_3_TG-TH_ITA 100 - TAS - S section - Sales-31.12.07" xfId="560"/>
    <cellStyle name="_KT (2)_3_TG-TH_Lora-tungchau" xfId="561"/>
    <cellStyle name="_KT (2)_3_TG-TH_PERSONAL" xfId="562"/>
    <cellStyle name="_KT (2)_3_TG-TH_PERSONAL_HTQ.8 GD1" xfId="563"/>
    <cellStyle name="_KT (2)_3_TG-TH_PERSONAL_Tong hop KHCB 2001" xfId="564"/>
    <cellStyle name="_KT (2)_3_TG-TH_Qt-HT3PQ1(CauKho)" xfId="565"/>
    <cellStyle name="_KT (2)_4" xfId="566"/>
    <cellStyle name="_KT (2)_4_BAO CAO KLCT PT2000" xfId="567"/>
    <cellStyle name="_KT (2)_4_BAO CAO PT2000" xfId="568"/>
    <cellStyle name="_KT (2)_4_BAO CAO PT2000_Book1" xfId="569"/>
    <cellStyle name="_KT (2)_4_Bao cao XDCB 2001 - T11 KH dieu chinh 20-11-THAI" xfId="570"/>
    <cellStyle name="_KT (2)_4_Book1" xfId="571"/>
    <cellStyle name="_KT (2)_4_Book1_1" xfId="572"/>
    <cellStyle name="_KT (2)_4_Book1_2" xfId="573"/>
    <cellStyle name="_KT (2)_4_Book1_3" xfId="574"/>
    <cellStyle name="_KT (2)_4_Book1_4" xfId="575"/>
    <cellStyle name="_KT (2)_4_Chi_phi_627_theo_thang_08 " xfId="576"/>
    <cellStyle name="_KT (2)_4_DTCDT MR.2N110.HOCMON.TDTOAN.CCUNG" xfId="577"/>
    <cellStyle name="_KT (2)_4_ITA 100 - TAS - H section - Investment - 31.12.07" xfId="578"/>
    <cellStyle name="_KT (2)_4_ITA 100 - TAS - S section - Sales-31.12.07" xfId="579"/>
    <cellStyle name="_KT (2)_4_Lora-tungchau" xfId="580"/>
    <cellStyle name="_KT (2)_4_PGIA-phieu tham tra Kho bac" xfId="581"/>
    <cellStyle name="_KT (2)_4_PT02-02" xfId="582"/>
    <cellStyle name="_KT (2)_4_PT02-02_Book1" xfId="583"/>
    <cellStyle name="_KT (2)_4_PT02-03" xfId="584"/>
    <cellStyle name="_KT (2)_4_PT02-03_Book1" xfId="585"/>
    <cellStyle name="_KT (2)_4_Qt-HT3PQ1(CauKho)" xfId="586"/>
    <cellStyle name="_KT (2)_4_TG-TH" xfId="587"/>
    <cellStyle name="_KT (2)_5" xfId="588"/>
    <cellStyle name="_KT (2)_5_BAO CAO KLCT PT2000" xfId="589"/>
    <cellStyle name="_KT (2)_5_BAO CAO PT2000" xfId="590"/>
    <cellStyle name="_KT (2)_5_BAO CAO PT2000_Book1" xfId="591"/>
    <cellStyle name="_KT (2)_5_Bao cao XDCB 2001 - T11 KH dieu chinh 20-11-THAI" xfId="592"/>
    <cellStyle name="_KT (2)_5_Book1" xfId="593"/>
    <cellStyle name="_KT (2)_5_Book1_1" xfId="594"/>
    <cellStyle name="_KT (2)_5_Book1_2" xfId="595"/>
    <cellStyle name="_KT (2)_5_Book1_3" xfId="596"/>
    <cellStyle name="_KT (2)_5_Book1_4" xfId="597"/>
    <cellStyle name="_KT (2)_5_Book1_BC-QT-WB-dthao" xfId="598"/>
    <cellStyle name="_KT (2)_5_Chi_phi_627_theo_thang_08 " xfId="599"/>
    <cellStyle name="_KT (2)_5_DTCDT MR.2N110.HOCMON.TDTOAN.CCUNG" xfId="600"/>
    <cellStyle name="_KT (2)_5_ITA 100 - TAS - H section - Investment - 31.12.07" xfId="601"/>
    <cellStyle name="_KT (2)_5_ITA 100 - TAS - S section - Sales-31.12.07" xfId="602"/>
    <cellStyle name="_KT (2)_5_Lora-tungchau" xfId="603"/>
    <cellStyle name="_KT (2)_5_PGIA-phieu tham tra Kho bac" xfId="604"/>
    <cellStyle name="_KT (2)_5_PT02-02" xfId="605"/>
    <cellStyle name="_KT (2)_5_PT02-02_Book1" xfId="606"/>
    <cellStyle name="_KT (2)_5_PT02-03" xfId="607"/>
    <cellStyle name="_KT (2)_5_PT02-03_Book1" xfId="608"/>
    <cellStyle name="_KT (2)_5_Qt-HT3PQ1(CauKho)" xfId="609"/>
    <cellStyle name="_KT (2)_Book1" xfId="610"/>
    <cellStyle name="_KT (2)_Book1_1" xfId="611"/>
    <cellStyle name="_KT (2)_Book1_BC-QT-WB-dthao" xfId="612"/>
    <cellStyle name="_KT (2)_ITA 100 - TAS - H section - Investment - 31.12.07" xfId="613"/>
    <cellStyle name="_KT (2)_ITA 100 - TAS - S section - Sales-31.12.07" xfId="614"/>
    <cellStyle name="_KT (2)_Lora-tungchau" xfId="615"/>
    <cellStyle name="_KT (2)_PERSONAL" xfId="616"/>
    <cellStyle name="_KT (2)_PERSONAL_HTQ.8 GD1" xfId="617"/>
    <cellStyle name="_KT (2)_PERSONAL_Tong hop KHCB 2001" xfId="618"/>
    <cellStyle name="_KT (2)_Qt-HT3PQ1(CauKho)" xfId="619"/>
    <cellStyle name="_KT (2)_TG-TH" xfId="620"/>
    <cellStyle name="_KT_TG" xfId="621"/>
    <cellStyle name="_KT_TG_1" xfId="622"/>
    <cellStyle name="_KT_TG_1_BAO CAO KLCT PT2000" xfId="623"/>
    <cellStyle name="_KT_TG_1_BAO CAO PT2000" xfId="624"/>
    <cellStyle name="_KT_TG_1_BAO CAO PT2000_Book1" xfId="625"/>
    <cellStyle name="_KT_TG_1_Bao cao XDCB 2001 - T11 KH dieu chinh 20-11-THAI" xfId="626"/>
    <cellStyle name="_KT_TG_1_Book1" xfId="627"/>
    <cellStyle name="_KT_TG_1_Book1_1" xfId="628"/>
    <cellStyle name="_KT_TG_1_Book1_2" xfId="629"/>
    <cellStyle name="_KT_TG_1_Book1_3" xfId="630"/>
    <cellStyle name="_KT_TG_1_Book1_4" xfId="631"/>
    <cellStyle name="_KT_TG_1_Book1_BC-QT-WB-dthao" xfId="632"/>
    <cellStyle name="_KT_TG_1_Chi_phi_627_theo_thang_08 " xfId="633"/>
    <cellStyle name="_KT_TG_1_DTCDT MR.2N110.HOCMON.TDTOAN.CCUNG" xfId="634"/>
    <cellStyle name="_KT_TG_1_ITA 100 - TAS - H section - Investment - 31.12.07" xfId="635"/>
    <cellStyle name="_KT_TG_1_ITA 100 - TAS - S section - Sales-31.12.07" xfId="636"/>
    <cellStyle name="_KT_TG_1_Lora-tungchau" xfId="637"/>
    <cellStyle name="_KT_TG_1_PGIA-phieu tham tra Kho bac" xfId="638"/>
    <cellStyle name="_KT_TG_1_PT02-02" xfId="639"/>
    <cellStyle name="_KT_TG_1_PT02-02_Book1" xfId="640"/>
    <cellStyle name="_KT_TG_1_PT02-03" xfId="641"/>
    <cellStyle name="_KT_TG_1_PT02-03_Book1" xfId="642"/>
    <cellStyle name="_KT_TG_1_Qt-HT3PQ1(CauKho)" xfId="643"/>
    <cellStyle name="_KT_TG_2" xfId="644"/>
    <cellStyle name="_KT_TG_2_BAO CAO KLCT PT2000" xfId="645"/>
    <cellStyle name="_KT_TG_2_BAO CAO PT2000" xfId="646"/>
    <cellStyle name="_KT_TG_2_BAO CAO PT2000_Book1" xfId="647"/>
    <cellStyle name="_KT_TG_2_Bao cao XDCB 2001 - T11 KH dieu chinh 20-11-THAI" xfId="648"/>
    <cellStyle name="_KT_TG_2_Book1" xfId="649"/>
    <cellStyle name="_KT_TG_2_Book1_1" xfId="650"/>
    <cellStyle name="_KT_TG_2_Book1_2" xfId="651"/>
    <cellStyle name="_KT_TG_2_Book1_3" xfId="652"/>
    <cellStyle name="_KT_TG_2_Book1_4" xfId="653"/>
    <cellStyle name="_KT_TG_2_Chi_phi_627_theo_thang_08 " xfId="654"/>
    <cellStyle name="_KT_TG_2_DTCDT MR.2N110.HOCMON.TDTOAN.CCUNG" xfId="655"/>
    <cellStyle name="_KT_TG_2_ITA 100 - TAS - H section - Investment - 31.12.07" xfId="656"/>
    <cellStyle name="_KT_TG_2_ITA 100 - TAS - S section - Sales-31.12.07" xfId="657"/>
    <cellStyle name="_KT_TG_2_Lora-tungchau" xfId="658"/>
    <cellStyle name="_KT_TG_2_PGIA-phieu tham tra Kho bac" xfId="659"/>
    <cellStyle name="_KT_TG_2_PT02-02" xfId="660"/>
    <cellStyle name="_KT_TG_2_PT02-02_Book1" xfId="661"/>
    <cellStyle name="_KT_TG_2_PT02-03" xfId="662"/>
    <cellStyle name="_KT_TG_2_PT02-03_Book1" xfId="663"/>
    <cellStyle name="_KT_TG_2_Qt-HT3PQ1(CauKho)" xfId="664"/>
    <cellStyle name="_KT_TG_3" xfId="665"/>
    <cellStyle name="_KT_TG_4" xfId="666"/>
    <cellStyle name="_KT_TG_4_bao cao ton chi tiet tuan 23-06" xfId="667"/>
    <cellStyle name="_KT_TG_4_Chi_phi_627_theo_thang_08 " xfId="668"/>
    <cellStyle name="_KT_TG_4_Chi_phi_627_theo_thang_08  2" xfId="669"/>
    <cellStyle name="_KT_TG_4_Chi_phi_627_theo_thang_08  3" xfId="670"/>
    <cellStyle name="_KT_TG_4_Chi_phi_627_theo_thang_08  4" xfId="671"/>
    <cellStyle name="_KT_TG_4_Chi_phi_627_theo_thang_08  5" xfId="672"/>
    <cellStyle name="_KT_TG_4_ITA 100 - TAS - H section - Investment - 31.12.07" xfId="673"/>
    <cellStyle name="_KT_TG_4_ITA 100 - TAS - H section - Investment - 31.12.07 2" xfId="674"/>
    <cellStyle name="_KT_TG_4_ITA 100 - TAS - H section - Investment - 31.12.07 3" xfId="675"/>
    <cellStyle name="_KT_TG_4_ITA 100 - TAS - H section - Investment - 31.12.07 4" xfId="676"/>
    <cellStyle name="_KT_TG_4_ITA 100 - TAS - H section - Investment - 31.12.07 5" xfId="677"/>
    <cellStyle name="_KT_TG_4_ITA 100 - TAS - S section - Sales-31.12.07" xfId="678"/>
    <cellStyle name="_KT_TG_4_ITA 100 - TAS - S section - Sales-31.12.07 2" xfId="679"/>
    <cellStyle name="_KT_TG_4_ITA 100 - TAS - S section - Sales-31.12.07 3" xfId="680"/>
    <cellStyle name="_KT_TG_4_ITA 100 - TAS - S section - Sales-31.12.07 4" xfId="681"/>
    <cellStyle name="_KT_TG_4_ITA 100 - TAS - S section - Sales-31.12.07 5" xfId="682"/>
    <cellStyle name="_KT_TG_4_Lora-tungchau" xfId="683"/>
    <cellStyle name="_KT_TG_4_Qt-HT3PQ1(CauKho)" xfId="684"/>
    <cellStyle name="_Long term prepayments" xfId="685"/>
    <cellStyle name="_Long term prepayments_BAO GIA-moi" xfId="686"/>
    <cellStyle name="_Long term prepayments_BAO GIA-moi 2" xfId="687"/>
    <cellStyle name="_Long term prepayments_BAO GIA-moi 3" xfId="688"/>
    <cellStyle name="_Long term prepayments_BAO GIA-moi 4" xfId="689"/>
    <cellStyle name="_Long term prepayments_BAO GIA-moi 5" xfId="690"/>
    <cellStyle name="_Long term prepayments_BAO GIA-moi_Dat kinh so   -17082012-Nha A Trung TGD" xfId="691"/>
    <cellStyle name="_Long term prepayments_BAO GIA-moi_KINH NHA CO NGA 18-09-12" xfId="692"/>
    <cellStyle name="_Long term prepayments_BAO GIA-moi_thong ke kinh PHONG mau-sxl1" xfId="693"/>
    <cellStyle name="_Long term prepayments_BAO GIA-moi_thong ke kinh Tang mau-sxl1" xfId="694"/>
    <cellStyle name="_Long term prepayments_CSMH 1C" xfId="695"/>
    <cellStyle name="_Long term prepayments_Sliding door&amp;window SR_SF" xfId="696"/>
    <cellStyle name="_Long term prepayments_Sliding door&amp;window SR_SF 2" xfId="697"/>
    <cellStyle name="_Long term prepayments_Sliding door&amp;window SR_SF 3" xfId="698"/>
    <cellStyle name="_Long term prepayments_Sliding door&amp;window SR_SF 4" xfId="699"/>
    <cellStyle name="_Long term prepayments_Sliding door&amp;window SR_SF 5" xfId="700"/>
    <cellStyle name="_Long term prepayments_Sliding door&amp;window SR_SF_Dat kinh so   -17082012-Nha A Trung TGD" xfId="701"/>
    <cellStyle name="_Long term prepayments_Sliding door&amp;window SR_SF_KINH NHA CO NGA 18-09-12" xfId="702"/>
    <cellStyle name="_Long term prepayments_Sliding door&amp;window SR_SF_thong ke kinh PHONG mau-sxl1" xfId="703"/>
    <cellStyle name="_Long term prepayments_Sliding door&amp;window SR_SF_thong ke kinh Tang mau-sxl1" xfId="704"/>
    <cellStyle name="_Lora-tungchau" xfId="705"/>
    <cellStyle name="_Malaya_F section 300906.final " xfId="706"/>
    <cellStyle name="_Malaya_F section 300906.final _BAO GIA-moi" xfId="707"/>
    <cellStyle name="_Malaya_F section 300906.final _BAO GIA-moi 2" xfId="708"/>
    <cellStyle name="_Malaya_F section 300906.final _BAO GIA-moi 3" xfId="709"/>
    <cellStyle name="_Malaya_F section 300906.final _BAO GIA-moi 4" xfId="710"/>
    <cellStyle name="_Malaya_F section 300906.final _BAO GIA-moi 5" xfId="711"/>
    <cellStyle name="_Malaya_F section 300906.final _BAO GIA-moi_Dat kinh so   -17082012-Nha A Trung TGD" xfId="712"/>
    <cellStyle name="_Malaya_F section 300906.final _BAO GIA-moi_KINH NHA CO NGA 18-09-12" xfId="713"/>
    <cellStyle name="_Malaya_F section 300906.final _BAO GIA-moi_thong ke kinh PHONG mau-sxl1" xfId="714"/>
    <cellStyle name="_Malaya_F section 300906.final _BAO GIA-moi_thong ke kinh Tang mau-sxl1" xfId="715"/>
    <cellStyle name="_Malaya_F section 300906.final _CSMH 1C" xfId="716"/>
    <cellStyle name="_Malaya_F section 300906.final _Sliding door&amp;window SR_SF" xfId="717"/>
    <cellStyle name="_Malaya_F section 300906.final _Sliding door&amp;window SR_SF 2" xfId="718"/>
    <cellStyle name="_Malaya_F section 300906.final _Sliding door&amp;window SR_SF 3" xfId="719"/>
    <cellStyle name="_Malaya_F section 300906.final _Sliding door&amp;window SR_SF 4" xfId="720"/>
    <cellStyle name="_Malaya_F section 300906.final _Sliding door&amp;window SR_SF 5" xfId="721"/>
    <cellStyle name="_Malaya_F section 300906.final _Sliding door&amp;window SR_SF_Dat kinh so   -17082012-Nha A Trung TGD" xfId="722"/>
    <cellStyle name="_Malaya_F section 300906.final _Sliding door&amp;window SR_SF_KINH NHA CO NGA 18-09-12" xfId="723"/>
    <cellStyle name="_Malaya_F section 300906.final _Sliding door&amp;window SR_SF_thong ke kinh PHONG mau-sxl1" xfId="724"/>
    <cellStyle name="_Malaya_F section 300906.final _Sliding door&amp;window SR_SF_thong ke kinh Tang mau-sxl1" xfId="725"/>
    <cellStyle name="_mo hat" xfId="726"/>
    <cellStyle name="_mo hat_BAO GIA-moi" xfId="727"/>
    <cellStyle name="_mo hat_BAO GIA-moi 2" xfId="728"/>
    <cellStyle name="_mo hat_BAO GIA-moi 3" xfId="729"/>
    <cellStyle name="_mo hat_BAO GIA-moi 4" xfId="730"/>
    <cellStyle name="_mo hat_BAO GIA-moi 5" xfId="731"/>
    <cellStyle name="_mo hat_BAO GIA-moi_Dat kinh so   -17082012-Nha A Trung TGD" xfId="732"/>
    <cellStyle name="_mo hat_BAO GIA-moi_KINH NHA CO NGA 18-09-12" xfId="733"/>
    <cellStyle name="_mo hat_BAO GIA-moi_thong ke kinh PHONG mau-sxl1" xfId="734"/>
    <cellStyle name="_mo hat_BAO GIA-moi_thong ke kinh Tang mau-sxl1" xfId="735"/>
    <cellStyle name="_mo hat_CSMH 1C" xfId="736"/>
    <cellStyle name="_mo hat_Sliding door&amp;window SR_SF" xfId="737"/>
    <cellStyle name="_mo hat_Sliding door&amp;window SR_SF 2" xfId="738"/>
    <cellStyle name="_mo hat_Sliding door&amp;window SR_SF 3" xfId="739"/>
    <cellStyle name="_mo hat_Sliding door&amp;window SR_SF 4" xfId="740"/>
    <cellStyle name="_mo hat_Sliding door&amp;window SR_SF 5" xfId="741"/>
    <cellStyle name="_mo hat_Sliding door&amp;window SR_SF_Dat kinh so   -17082012-Nha A Trung TGD" xfId="742"/>
    <cellStyle name="_mo hat_Sliding door&amp;window SR_SF_KINH NHA CO NGA 18-09-12" xfId="743"/>
    <cellStyle name="_mo hat_Sliding door&amp;window SR_SF_thong ke kinh PHONG mau-sxl1" xfId="744"/>
    <cellStyle name="_mo hat_Sliding door&amp;window SR_SF_thong ke kinh Tang mau-sxl1" xfId="745"/>
    <cellStyle name="_mo quay, lat" xfId="746"/>
    <cellStyle name="_mo quay, lat_BAO GIA-moi" xfId="747"/>
    <cellStyle name="_mo quay, lat_BAO GIA-moi 2" xfId="748"/>
    <cellStyle name="_mo quay, lat_BAO GIA-moi 3" xfId="749"/>
    <cellStyle name="_mo quay, lat_BAO GIA-moi 4" xfId="750"/>
    <cellStyle name="_mo quay, lat_BAO GIA-moi 5" xfId="751"/>
    <cellStyle name="_mo quay, lat_BAO GIA-moi_Dat kinh so   -17082012-Nha A Trung TGD" xfId="752"/>
    <cellStyle name="_mo quay, lat_BAO GIA-moi_KINH NHA CO NGA 18-09-12" xfId="753"/>
    <cellStyle name="_mo quay, lat_BAO GIA-moi_thong ke kinh PHONG mau-sxl1" xfId="754"/>
    <cellStyle name="_mo quay, lat_BAO GIA-moi_thong ke kinh Tang mau-sxl1" xfId="755"/>
    <cellStyle name="_mo quay, lat_CSMH 1C" xfId="756"/>
    <cellStyle name="_mo quay, lat_Sliding door&amp;window SR_SF" xfId="757"/>
    <cellStyle name="_mo quay, lat_Sliding door&amp;window SR_SF 2" xfId="758"/>
    <cellStyle name="_mo quay, lat_Sliding door&amp;window SR_SF 3" xfId="759"/>
    <cellStyle name="_mo quay, lat_Sliding door&amp;window SR_SF 4" xfId="760"/>
    <cellStyle name="_mo quay, lat_Sliding door&amp;window SR_SF 5" xfId="761"/>
    <cellStyle name="_mo quay, lat_Sliding door&amp;window SR_SF_Dat kinh so   -17082012-Nha A Trung TGD" xfId="762"/>
    <cellStyle name="_mo quay, lat_Sliding door&amp;window SR_SF_KINH NHA CO NGA 18-09-12" xfId="763"/>
    <cellStyle name="_mo quay, lat_Sliding door&amp;window SR_SF_thong ke kinh PHONG mau-sxl1" xfId="764"/>
    <cellStyle name="_mo quay, lat_Sliding door&amp;window SR_SF_thong ke kinh Tang mau-sxl1" xfId="765"/>
    <cellStyle name="_MUA NGOAI 2007" xfId="766"/>
    <cellStyle name="_NVL PHỤ ha noi" xfId="767"/>
    <cellStyle name="_NVL PHỤ ha noi 2" xfId="768"/>
    <cellStyle name="_NVL PHỤ ha noi 3" xfId="769"/>
    <cellStyle name="_NVL PHỤ ha noi 4" xfId="770"/>
    <cellStyle name="_NVL PHỤ ha noi 5" xfId="771"/>
    <cellStyle name="_OEM - WTB 31.12.06" xfId="772"/>
    <cellStyle name="_PERSONAL" xfId="773"/>
    <cellStyle name="_PERSONAL_HTQ.8 GD1" xfId="774"/>
    <cellStyle name="_PERSONAL_Tong hop KHCB 2001" xfId="775"/>
    <cellStyle name="_Purchasing 2006 YTD" xfId="776"/>
    <cellStyle name="_Purchasing 2006 YTD_BAO GIA-moi" xfId="777"/>
    <cellStyle name="_Purchasing 2006 YTD_BAO GIA-moi 2" xfId="778"/>
    <cellStyle name="_Purchasing 2006 YTD_BAO GIA-moi 3" xfId="779"/>
    <cellStyle name="_Purchasing 2006 YTD_BAO GIA-moi 4" xfId="780"/>
    <cellStyle name="_Purchasing 2006 YTD_BAO GIA-moi 5" xfId="781"/>
    <cellStyle name="_Purchasing 2006 YTD_BAO GIA-moi_Dat kinh so   -17082012-Nha A Trung TGD" xfId="782"/>
    <cellStyle name="_Purchasing 2006 YTD_BAO GIA-moi_KINH NHA CO NGA 18-09-12" xfId="783"/>
    <cellStyle name="_Purchasing 2006 YTD_BAO GIA-moi_thong ke kinh PHONG mau-sxl1" xfId="784"/>
    <cellStyle name="_Purchasing 2006 YTD_BAO GIA-moi_thong ke kinh Tang mau-sxl1" xfId="785"/>
    <cellStyle name="_Purchasing 2006 YTD_CSMH 1C" xfId="786"/>
    <cellStyle name="_Purchasing 2006 YTD_Sliding door&amp;window SR_SF" xfId="787"/>
    <cellStyle name="_Purchasing 2006 YTD_Sliding door&amp;window SR_SF 2" xfId="788"/>
    <cellStyle name="_Purchasing 2006 YTD_Sliding door&amp;window SR_SF 3" xfId="789"/>
    <cellStyle name="_Purchasing 2006 YTD_Sliding door&amp;window SR_SF 4" xfId="790"/>
    <cellStyle name="_Purchasing 2006 YTD_Sliding door&amp;window SR_SF 5" xfId="791"/>
    <cellStyle name="_Purchasing 2006 YTD_Sliding door&amp;window SR_SF_Dat kinh so   -17082012-Nha A Trung TGD" xfId="792"/>
    <cellStyle name="_Purchasing 2006 YTD_Sliding door&amp;window SR_SF_KINH NHA CO NGA 18-09-12" xfId="793"/>
    <cellStyle name="_Purchasing 2006 YTD_Sliding door&amp;window SR_SF_thong ke kinh PHONG mau-sxl1" xfId="794"/>
    <cellStyle name="_Purchasing 2006 YTD_Sliding door&amp;window SR_SF_thong ke kinh Tang mau-sxl1" xfId="795"/>
    <cellStyle name="_Qt-HT3PQ1(CauKho)" xfId="796"/>
    <cellStyle name="_QUYET TOAN THUE TNCN NGUOI LAO DONG NAM 2006" xfId="797"/>
    <cellStyle name="_RCL - WTB 31.12.06 - v3" xfId="798"/>
    <cellStyle name="_RCL - WTB 31.12.06 - v3_BAO GIA-moi" xfId="799"/>
    <cellStyle name="_RCL - WTB 31.12.06 - v3_Casement door" xfId="800"/>
    <cellStyle name="_RCL - WTB 31.12.06 - v3_Casement window" xfId="801"/>
    <cellStyle name="_RCL - WTB 31.12.06 - v3_Sliding door&amp;window SR_SF" xfId="802"/>
    <cellStyle name="_RM FG INV 2006" xfId="803"/>
    <cellStyle name="_RM FG INV 2006_BAO GIA-moi" xfId="804"/>
    <cellStyle name="_RM FG INV 2006_BAO GIA-moi 2" xfId="805"/>
    <cellStyle name="_RM FG INV 2006_BAO GIA-moi 3" xfId="806"/>
    <cellStyle name="_RM FG INV 2006_BAO GIA-moi 4" xfId="807"/>
    <cellStyle name="_RM FG INV 2006_BAO GIA-moi 5" xfId="808"/>
    <cellStyle name="_RM FG INV 2006_BAO GIA-moi_Dat kinh so   -17082012-Nha A Trung TGD" xfId="809"/>
    <cellStyle name="_RM FG INV 2006_BAO GIA-moi_KINH NHA CO NGA 18-09-12" xfId="810"/>
    <cellStyle name="_RM FG INV 2006_BAO GIA-moi_thong ke kinh PHONG mau-sxl1" xfId="811"/>
    <cellStyle name="_RM FG INV 2006_BAO GIA-moi_thong ke kinh Tang mau-sxl1" xfId="812"/>
    <cellStyle name="_RM FG INV 2006_CSMH 1C" xfId="813"/>
    <cellStyle name="_RM FG INV 2006_Sliding door&amp;window SR_SF" xfId="814"/>
    <cellStyle name="_RM FG INV 2006_Sliding door&amp;window SR_SF 2" xfId="815"/>
    <cellStyle name="_RM FG INV 2006_Sliding door&amp;window SR_SF 3" xfId="816"/>
    <cellStyle name="_RM FG INV 2006_Sliding door&amp;window SR_SF 4" xfId="817"/>
    <cellStyle name="_RM FG INV 2006_Sliding door&amp;window SR_SF 5" xfId="818"/>
    <cellStyle name="_RM FG INV 2006_Sliding door&amp;window SR_SF_Dat kinh so   -17082012-Nha A Trung TGD" xfId="819"/>
    <cellStyle name="_RM FG INV 2006_Sliding door&amp;window SR_SF_KINH NHA CO NGA 18-09-12" xfId="820"/>
    <cellStyle name="_RM FG INV 2006_Sliding door&amp;window SR_SF_thong ke kinh PHONG mau-sxl1" xfId="821"/>
    <cellStyle name="_RM FG INV 2006_Sliding door&amp;window SR_SF_thong ke kinh Tang mau-sxl1" xfId="822"/>
    <cellStyle name="_Royal Cargo - Section O - NTHH" xfId="823"/>
    <cellStyle name="_Sales &amp; COGs - 2005" xfId="824"/>
    <cellStyle name="_san luong" xfId="825"/>
    <cellStyle name="_san luong 2" xfId="826"/>
    <cellStyle name="_san luong 3" xfId="827"/>
    <cellStyle name="_san luong 4" xfId="828"/>
    <cellStyle name="_san luong 5" xfId="829"/>
    <cellStyle name="_Sheet1_Chi_phi_627_theo_thang_08 " xfId="830"/>
    <cellStyle name="_Sheet4" xfId="831"/>
    <cellStyle name="_Stock" xfId="832"/>
    <cellStyle name="_Stock_BAO GIA-moi" xfId="833"/>
    <cellStyle name="_Stock_BAO GIA-moi 2" xfId="834"/>
    <cellStyle name="_Stock_BAO GIA-moi 3" xfId="835"/>
    <cellStyle name="_Stock_BAO GIA-moi 4" xfId="836"/>
    <cellStyle name="_Stock_BAO GIA-moi 5" xfId="837"/>
    <cellStyle name="_Stock_BAO GIA-moi_Dat kinh so   -17082012-Nha A Trung TGD" xfId="838"/>
    <cellStyle name="_Stock_BAO GIA-moi_KINH NHA CO NGA 18-09-12" xfId="839"/>
    <cellStyle name="_Stock_BAO GIA-moi_thong ke kinh PHONG mau-sxl1" xfId="840"/>
    <cellStyle name="_Stock_BAO GIA-moi_thong ke kinh Tang mau-sxl1" xfId="841"/>
    <cellStyle name="_Stock_CSMH 1C" xfId="842"/>
    <cellStyle name="_Stock_Sliding door&amp;window SR_SF" xfId="843"/>
    <cellStyle name="_Stock_Sliding door&amp;window SR_SF 2" xfId="844"/>
    <cellStyle name="_Stock_Sliding door&amp;window SR_SF 3" xfId="845"/>
    <cellStyle name="_Stock_Sliding door&amp;window SR_SF 4" xfId="846"/>
    <cellStyle name="_Stock_Sliding door&amp;window SR_SF 5" xfId="847"/>
    <cellStyle name="_Stock_Sliding door&amp;window SR_SF_Dat kinh so   -17082012-Nha A Trung TGD" xfId="848"/>
    <cellStyle name="_Stock_Sliding door&amp;window SR_SF_KINH NHA CO NGA 18-09-12" xfId="849"/>
    <cellStyle name="_Stock_Sliding door&amp;window SR_SF_thong ke kinh PHONG mau-sxl1" xfId="850"/>
    <cellStyle name="_Stock_Sliding door&amp;window SR_SF_thong ke kinh Tang mau-sxl1" xfId="851"/>
    <cellStyle name="_Stocks-HNKV 31.12.06" xfId="852"/>
    <cellStyle name="_Stocks-HNKV 31.12.06_BAO GIA-moi" xfId="853"/>
    <cellStyle name="_Stocks-HNKV 31.12.06_BAO GIA-moi 2" xfId="854"/>
    <cellStyle name="_Stocks-HNKV 31.12.06_BAO GIA-moi 3" xfId="855"/>
    <cellStyle name="_Stocks-HNKV 31.12.06_BAO GIA-moi 4" xfId="856"/>
    <cellStyle name="_Stocks-HNKV 31.12.06_BAO GIA-moi 5" xfId="857"/>
    <cellStyle name="_Stocks-HNKV 31.12.06_BAO GIA-moi_Dat kinh so   -17082012-Nha A Trung TGD" xfId="858"/>
    <cellStyle name="_Stocks-HNKV 31.12.06_BAO GIA-moi_KINH NHA CO NGA 18-09-12" xfId="859"/>
    <cellStyle name="_Stocks-HNKV 31.12.06_BAO GIA-moi_thong ke kinh PHONG mau-sxl1" xfId="860"/>
    <cellStyle name="_Stocks-HNKV 31.12.06_BAO GIA-moi_thong ke kinh Tang mau-sxl1" xfId="861"/>
    <cellStyle name="_Stocks-HNKV 31.12.06_CSMH 1C" xfId="862"/>
    <cellStyle name="_Stocks-HNKV 31.12.06_Sliding door&amp;window SR_SF" xfId="863"/>
    <cellStyle name="_Stocks-HNKV 31.12.06_Sliding door&amp;window SR_SF 2" xfId="864"/>
    <cellStyle name="_Stocks-HNKV 31.12.06_Sliding door&amp;window SR_SF 3" xfId="865"/>
    <cellStyle name="_Stocks-HNKV 31.12.06_Sliding door&amp;window SR_SF 4" xfId="866"/>
    <cellStyle name="_Stocks-HNKV 31.12.06_Sliding door&amp;window SR_SF 5" xfId="867"/>
    <cellStyle name="_Stocks-HNKV 31.12.06_Sliding door&amp;window SR_SF_Dat kinh so   -17082012-Nha A Trung TGD" xfId="868"/>
    <cellStyle name="_Stocks-HNKV 31.12.06_Sliding door&amp;window SR_SF_KINH NHA CO NGA 18-09-12" xfId="869"/>
    <cellStyle name="_Stocks-HNKV 31.12.06_Sliding door&amp;window SR_SF_thong ke kinh PHONG mau-sxl1" xfId="870"/>
    <cellStyle name="_Stocks-HNKV 31.12.06_Sliding door&amp;window SR_SF_thong ke kinh Tang mau-sxl1" xfId="871"/>
    <cellStyle name="_TG-TH" xfId="872"/>
    <cellStyle name="_TG-TH_1" xfId="873"/>
    <cellStyle name="_TG-TH_1_BAO CAO KLCT PT2000" xfId="874"/>
    <cellStyle name="_TG-TH_1_BAO CAO PT2000" xfId="875"/>
    <cellStyle name="_TG-TH_1_BAO CAO PT2000_Book1" xfId="876"/>
    <cellStyle name="_TG-TH_1_Bao cao XDCB 2001 - T11 KH dieu chinh 20-11-THAI" xfId="877"/>
    <cellStyle name="_TG-TH_1_Book1" xfId="878"/>
    <cellStyle name="_TG-TH_1_Book1_1" xfId="879"/>
    <cellStyle name="_TG-TH_1_Book1_2" xfId="880"/>
    <cellStyle name="_TG-TH_1_Book1_3" xfId="881"/>
    <cellStyle name="_TG-TH_1_Book1_4" xfId="882"/>
    <cellStyle name="_TG-TH_1_Book1_BC-QT-WB-dthao" xfId="883"/>
    <cellStyle name="_TG-TH_1_Chi_phi_627_theo_thang_08 " xfId="884"/>
    <cellStyle name="_TG-TH_1_DTCDT MR.2N110.HOCMON.TDTOAN.CCUNG" xfId="885"/>
    <cellStyle name="_TG-TH_1_ITA 100 - TAS - H section - Investment - 31.12.07" xfId="886"/>
    <cellStyle name="_TG-TH_1_ITA 100 - TAS - S section - Sales-31.12.07" xfId="887"/>
    <cellStyle name="_TG-TH_1_Lora-tungchau" xfId="888"/>
    <cellStyle name="_TG-TH_1_PGIA-phieu tham tra Kho bac" xfId="889"/>
    <cellStyle name="_TG-TH_1_PT02-02" xfId="890"/>
    <cellStyle name="_TG-TH_1_PT02-02_Book1" xfId="891"/>
    <cellStyle name="_TG-TH_1_PT02-03" xfId="892"/>
    <cellStyle name="_TG-TH_1_PT02-03_Book1" xfId="893"/>
    <cellStyle name="_TG-TH_1_Qt-HT3PQ1(CauKho)" xfId="894"/>
    <cellStyle name="_TG-TH_2" xfId="895"/>
    <cellStyle name="_TG-TH_2_BAO CAO KLCT PT2000" xfId="896"/>
    <cellStyle name="_TG-TH_2_BAO CAO PT2000" xfId="897"/>
    <cellStyle name="_TG-TH_2_BAO CAO PT2000_Book1" xfId="898"/>
    <cellStyle name="_TG-TH_2_Bao cao XDCB 2001 - T11 KH dieu chinh 20-11-THAI" xfId="899"/>
    <cellStyle name="_TG-TH_2_Book1" xfId="900"/>
    <cellStyle name="_TG-TH_2_Book1_1" xfId="901"/>
    <cellStyle name="_TG-TH_2_Book1_2" xfId="902"/>
    <cellStyle name="_TG-TH_2_Book1_3" xfId="903"/>
    <cellStyle name="_TG-TH_2_Book1_4" xfId="904"/>
    <cellStyle name="_TG-TH_2_Chi_phi_627_theo_thang_08 " xfId="905"/>
    <cellStyle name="_TG-TH_2_DTCDT MR.2N110.HOCMON.TDTOAN.CCUNG" xfId="906"/>
    <cellStyle name="_TG-TH_2_ITA 100 - TAS - H section - Investment - 31.12.07" xfId="907"/>
    <cellStyle name="_TG-TH_2_ITA 100 - TAS - S section - Sales-31.12.07" xfId="908"/>
    <cellStyle name="_TG-TH_2_Lora-tungchau" xfId="909"/>
    <cellStyle name="_TG-TH_2_PGIA-phieu tham tra Kho bac" xfId="910"/>
    <cellStyle name="_TG-TH_2_PT02-02" xfId="911"/>
    <cellStyle name="_TG-TH_2_PT02-02_Book1" xfId="912"/>
    <cellStyle name="_TG-TH_2_PT02-03" xfId="913"/>
    <cellStyle name="_TG-TH_2_PT02-03_Book1" xfId="914"/>
    <cellStyle name="_TG-TH_2_Qt-HT3PQ1(CauKho)" xfId="915"/>
    <cellStyle name="_TG-TH_3" xfId="916"/>
    <cellStyle name="_TG-TH_3_bao cao ton chi tiet tuan 23-06" xfId="917"/>
    <cellStyle name="_TG-TH_3_Chi_phi_627_theo_thang_08 " xfId="918"/>
    <cellStyle name="_TG-TH_3_Chi_phi_627_theo_thang_08  2" xfId="919"/>
    <cellStyle name="_TG-TH_3_Chi_phi_627_theo_thang_08  3" xfId="920"/>
    <cellStyle name="_TG-TH_3_Chi_phi_627_theo_thang_08  4" xfId="921"/>
    <cellStyle name="_TG-TH_3_Chi_phi_627_theo_thang_08  5" xfId="922"/>
    <cellStyle name="_TG-TH_3_ITA 100 - TAS - H section - Investment - 31.12.07" xfId="923"/>
    <cellStyle name="_TG-TH_3_ITA 100 - TAS - H section - Investment - 31.12.07 2" xfId="924"/>
    <cellStyle name="_TG-TH_3_ITA 100 - TAS - H section - Investment - 31.12.07 3" xfId="925"/>
    <cellStyle name="_TG-TH_3_ITA 100 - TAS - H section - Investment - 31.12.07 4" xfId="926"/>
    <cellStyle name="_TG-TH_3_ITA 100 - TAS - H section - Investment - 31.12.07 5" xfId="927"/>
    <cellStyle name="_TG-TH_3_ITA 100 - TAS - S section - Sales-31.12.07" xfId="928"/>
    <cellStyle name="_TG-TH_3_ITA 100 - TAS - S section - Sales-31.12.07 2" xfId="929"/>
    <cellStyle name="_TG-TH_3_ITA 100 - TAS - S section - Sales-31.12.07 3" xfId="930"/>
    <cellStyle name="_TG-TH_3_ITA 100 - TAS - S section - Sales-31.12.07 4" xfId="931"/>
    <cellStyle name="_TG-TH_3_ITA 100 - TAS - S section - Sales-31.12.07 5" xfId="932"/>
    <cellStyle name="_TG-TH_3_Lora-tungchau" xfId="933"/>
    <cellStyle name="_TG-TH_3_Qt-HT3PQ1(CauKho)" xfId="934"/>
    <cellStyle name="_TG-TH_4" xfId="935"/>
    <cellStyle name="_TL Hai Phong - WTB 311206" xfId="936"/>
    <cellStyle name="_tong kho 31.12.06" xfId="937"/>
    <cellStyle name="_WIP_1205" xfId="938"/>
    <cellStyle name="_WP - Thuy Duong -v2" xfId="939"/>
    <cellStyle name="_WP - Thuy Duong -v2_BAO GIA-moi" xfId="940"/>
    <cellStyle name="_WP - Thuy Duong -v2_BAO GIA-moi 2" xfId="941"/>
    <cellStyle name="_WP - Thuy Duong -v2_BAO GIA-moi 3" xfId="942"/>
    <cellStyle name="_WP - Thuy Duong -v2_BAO GIA-moi 4" xfId="943"/>
    <cellStyle name="_WP - Thuy Duong -v2_BAO GIA-moi 5" xfId="944"/>
    <cellStyle name="_WP - Thuy Duong -v2_BAO GIA-moi_Dat kinh so   -17082012-Nha A Trung TGD" xfId="945"/>
    <cellStyle name="_WP - Thuy Duong -v2_BAO GIA-moi_KINH NHA CO NGA 18-09-12" xfId="946"/>
    <cellStyle name="_WP - Thuy Duong -v2_BAO GIA-moi_thong ke kinh PHONG mau-sxl1" xfId="947"/>
    <cellStyle name="_WP - Thuy Duong -v2_BAO GIA-moi_thong ke kinh Tang mau-sxl1" xfId="948"/>
    <cellStyle name="_WP - Thuy Duong -v2_CSMH 1C" xfId="949"/>
    <cellStyle name="_WP - Thuy Duong -v2_Sliding door&amp;window SR_SF" xfId="950"/>
    <cellStyle name="_WP - Thuy Duong -v2_Sliding door&amp;window SR_SF 2" xfId="951"/>
    <cellStyle name="_WP - Thuy Duong -v2_Sliding door&amp;window SR_SF 3" xfId="952"/>
    <cellStyle name="_WP - Thuy Duong -v2_Sliding door&amp;window SR_SF 4" xfId="953"/>
    <cellStyle name="_WP - Thuy Duong -v2_Sliding door&amp;window SR_SF 5" xfId="954"/>
    <cellStyle name="_WP - Thuy Duong -v2_Sliding door&amp;window SR_SF_Dat kinh so   -17082012-Nha A Trung TGD" xfId="955"/>
    <cellStyle name="_WP - Thuy Duong -v2_Sliding door&amp;window SR_SF_KINH NHA CO NGA 18-09-12" xfId="956"/>
    <cellStyle name="_WP - Thuy Duong -v2_Sliding door&amp;window SR_SF_thong ke kinh PHONG mau-sxl1" xfId="957"/>
    <cellStyle name="_WP - Thuy Duong -v2_Sliding door&amp;window SR_SF_thong ke kinh Tang mau-sxl1" xfId="958"/>
    <cellStyle name="_Write off" xfId="959"/>
    <cellStyle name="_Write off_BAO GIA-moi" xfId="960"/>
    <cellStyle name="_Write off_BAO GIA-moi 2" xfId="961"/>
    <cellStyle name="_Write off_BAO GIA-moi 3" xfId="962"/>
    <cellStyle name="_Write off_BAO GIA-moi 4" xfId="963"/>
    <cellStyle name="_Write off_BAO GIA-moi 5" xfId="964"/>
    <cellStyle name="_Write off_BAO GIA-moi_Dat kinh so   -17082012-Nha A Trung TGD" xfId="965"/>
    <cellStyle name="_Write off_BAO GIA-moi_KINH NHA CO NGA 18-09-12" xfId="966"/>
    <cellStyle name="_Write off_BAO GIA-moi_thong ke kinh PHONG mau-sxl1" xfId="967"/>
    <cellStyle name="_Write off_BAO GIA-moi_thong ke kinh Tang mau-sxl1" xfId="968"/>
    <cellStyle name="_Write off_CSMH 1C" xfId="969"/>
    <cellStyle name="_Write off_Sliding door&amp;window SR_SF" xfId="970"/>
    <cellStyle name="_Write off_Sliding door&amp;window SR_SF 2" xfId="971"/>
    <cellStyle name="_Write off_Sliding door&amp;window SR_SF 3" xfId="972"/>
    <cellStyle name="_Write off_Sliding door&amp;window SR_SF 4" xfId="973"/>
    <cellStyle name="_Write off_Sliding door&amp;window SR_SF 5" xfId="974"/>
    <cellStyle name="_Write off_Sliding door&amp;window SR_SF_Dat kinh so   -17082012-Nha A Trung TGD" xfId="975"/>
    <cellStyle name="_Write off_Sliding door&amp;window SR_SF_KINH NHA CO NGA 18-09-12" xfId="976"/>
    <cellStyle name="_Write off_Sliding door&amp;window SR_SF_thong ke kinh PHONG mau-sxl1" xfId="977"/>
    <cellStyle name="_Write off_Sliding door&amp;window SR_SF_thong ke kinh Tang mau-sxl1" xfId="978"/>
    <cellStyle name="_WTB revised 31.12.2002 with TCI adjs-dated 2507-V1" xfId="979"/>
    <cellStyle name="_Xnt_0105" xfId="980"/>
    <cellStyle name="_Xnt_1205" xfId="981"/>
    <cellStyle name="–¢’è‹`" xfId="982"/>
    <cellStyle name="•\Ž¦Ï‚Ý‚ÌƒnƒCƒp[ƒŠƒ“ƒN" xfId="983"/>
    <cellStyle name="•W€_STDFOR" xfId="984"/>
    <cellStyle name="W_RENKETU1" xfId="985"/>
    <cellStyle name="0%" xfId="986"/>
    <cellStyle name="0.0%" xfId="987"/>
    <cellStyle name="0.00%" xfId="988"/>
    <cellStyle name="1" xfId="989"/>
    <cellStyle name="15" xfId="990"/>
    <cellStyle name="18" xfId="991"/>
    <cellStyle name="¹éºÐÀ²_      " xfId="992"/>
    <cellStyle name="2" xfId="993"/>
    <cellStyle name="20% - ส่วนที่ถูกเน้น1" xfId="994"/>
    <cellStyle name="20% - ส่วนที่ถูกเน้น2" xfId="995"/>
    <cellStyle name="20% - ส่วนที่ถูกเน้น3" xfId="996"/>
    <cellStyle name="20% - ส่วนที่ถูกเน้น4" xfId="997"/>
    <cellStyle name="20% - ส่วนที่ถูกเน้น5" xfId="998"/>
    <cellStyle name="20% - ส่วนที่ถูกเน้น6" xfId="999"/>
    <cellStyle name="3" xfId="1000"/>
    <cellStyle name="4" xfId="1001"/>
    <cellStyle name="40% - ส่วนที่ถูกเน้น1" xfId="1002"/>
    <cellStyle name="40% - ส่วนที่ถูกเน้น2" xfId="1003"/>
    <cellStyle name="40% - ส่วนที่ถูกเน้น3" xfId="1004"/>
    <cellStyle name="40% - ส่วนที่ถูกเน้น4" xfId="1005"/>
    <cellStyle name="40% - ส่วนที่ถูกเน้น5" xfId="1006"/>
    <cellStyle name="40% - ส่วนที่ถูกเน้น6" xfId="1007"/>
    <cellStyle name="6" xfId="1008"/>
    <cellStyle name="6 2" xfId="1009"/>
    <cellStyle name="6 3" xfId="1010"/>
    <cellStyle name="6 4" xfId="1011"/>
    <cellStyle name="6 5" xfId="1012"/>
    <cellStyle name="6_Casement door" xfId="1013"/>
    <cellStyle name="6_Casement window" xfId="1014"/>
    <cellStyle name="6_CSMH 1C" xfId="1015"/>
    <cellStyle name="6_Dat kinh so   -17082012-Nha A Trung TGD" xfId="1016"/>
    <cellStyle name="6_KINH NHA CO NGA 18-09-12" xfId="1017"/>
    <cellStyle name="6_Sliding door&amp;window SR_SF" xfId="1018"/>
    <cellStyle name="6_Sliding door&amp;window SR_SF 2" xfId="1019"/>
    <cellStyle name="6_Sliding door&amp;window SR_SF 3" xfId="1020"/>
    <cellStyle name="6_Sliding door&amp;window SR_SF 4" xfId="1021"/>
    <cellStyle name="6_Sliding door&amp;window SR_SF 5" xfId="1022"/>
    <cellStyle name="6_Sliding door&amp;window SR_SF_Dat kinh so   -17082012-Nha A Trung TGD" xfId="1023"/>
    <cellStyle name="6_Sliding door&amp;window SR_SF_KINH NHA CO NGA 18-09-12" xfId="1024"/>
    <cellStyle name="6_Sliding door&amp;window SR_SF_thong ke kinh PHONG mau-sxl1" xfId="1025"/>
    <cellStyle name="6_Sliding door&amp;window SR_SF_thong ke kinh Tang mau-sxl1" xfId="1026"/>
    <cellStyle name="6_thong ke kinh PHONG mau-sxl1" xfId="1027"/>
    <cellStyle name="6_thong ke kinh Tang mau-sxl1" xfId="1028"/>
    <cellStyle name="60% - ส่วนที่ถูกเน้น1" xfId="1029"/>
    <cellStyle name="60% - ส่วนที่ถูกเน้น2" xfId="1030"/>
    <cellStyle name="60% - ส่วนที่ถูกเน้น3" xfId="1031"/>
    <cellStyle name="60% - ส่วนที่ถูกเน้น4" xfId="1032"/>
    <cellStyle name="60% - ส่วนที่ถูกเน้น5" xfId="1033"/>
    <cellStyle name="60% - ส่วนที่ถูกเน้น6" xfId="1034"/>
    <cellStyle name="80" xfId="1035"/>
    <cellStyle name="Account" xfId="1036"/>
    <cellStyle name="ÅëÈ­ [0]_      " xfId="1037"/>
    <cellStyle name="AeE­ [0]_INQUIRY ¿?¾÷AßAø " xfId="1038"/>
    <cellStyle name="ÅëÈ­ [0]_S" xfId="1039"/>
    <cellStyle name="ÅëÈ­_      " xfId="1040"/>
    <cellStyle name="AeE­_INQUIRY ¿?¾÷AßAø " xfId="1041"/>
    <cellStyle name="ÅëÈ­_L601CPT" xfId="1042"/>
    <cellStyle name="APPEAR" xfId="1043"/>
    <cellStyle name="arbres" xfId="1044"/>
    <cellStyle name="args.style" xfId="1045"/>
    <cellStyle name="ÄÞ¸¶ [0]_      " xfId="1046"/>
    <cellStyle name="AÞ¸¶ [0]_INQUIRY ¿?¾÷AßAø " xfId="1047"/>
    <cellStyle name="ÄÞ¸¶ [0]_L601CPT" xfId="1048"/>
    <cellStyle name="ÄÞ¸¶_      " xfId="1049"/>
    <cellStyle name="AÞ¸¶_INQUIRY ¿?¾÷AßAø " xfId="1050"/>
    <cellStyle name="ÄÞ¸¶_L601CPT" xfId="1051"/>
    <cellStyle name="AutoFormat Options" xfId="1052"/>
    <cellStyle name="BKWmas" xfId="1053"/>
    <cellStyle name="Body" xfId="1054"/>
    <cellStyle name="C?AØ_¿?¾÷CoE² " xfId="1055"/>
    <cellStyle name="Ç¥ÁØ_      " xfId="1056"/>
    <cellStyle name="C￥AØ_¿μ¾÷CoE² " xfId="1057"/>
    <cellStyle name="Ç¥ÁØ_±¸¹Ì´ëÃ¥" xfId="1058"/>
    <cellStyle name="Calc Currency (0)" xfId="1059"/>
    <cellStyle name="Calc Currency (0) 2" xfId="1060"/>
    <cellStyle name="Calc Currency (0) 3" xfId="1061"/>
    <cellStyle name="Calc Currency (0) 4" xfId="1062"/>
    <cellStyle name="Calc Currency (0) 5" xfId="1063"/>
    <cellStyle name="Calc Currency (2)" xfId="1064"/>
    <cellStyle name="Calc Percent (0)" xfId="1065"/>
    <cellStyle name="Calc Percent (1)" xfId="1066"/>
    <cellStyle name="Calc Percent (2)" xfId="1067"/>
    <cellStyle name="Calc Percent (2) 2" xfId="1068"/>
    <cellStyle name="Calc Percent (2) 3" xfId="1069"/>
    <cellStyle name="Calc Percent (2) 4" xfId="1070"/>
    <cellStyle name="Calc Percent (2) 5" xfId="1071"/>
    <cellStyle name="Calc Units (0)" xfId="1072"/>
    <cellStyle name="Calc Units (1)" xfId="1073"/>
    <cellStyle name="Calc Units (2)" xfId="1074"/>
    <cellStyle name="category" xfId="1075"/>
    <cellStyle name="Cerrency_Sheet2_XANGDAU" xfId="1076"/>
    <cellStyle name="CHUONG" xfId="1077"/>
    <cellStyle name="Col Heads" xfId="1078"/>
    <cellStyle name="Comma" xfId="1901" builtinId="3"/>
    <cellStyle name="Comma  - Style1" xfId="1079"/>
    <cellStyle name="Comma  - Style2" xfId="1080"/>
    <cellStyle name="Comma  - Style3" xfId="1081"/>
    <cellStyle name="Comma  - Style4" xfId="1082"/>
    <cellStyle name="Comma  - Style5" xfId="1083"/>
    <cellStyle name="Comma  - Style6" xfId="1084"/>
    <cellStyle name="Comma  - Style7" xfId="1085"/>
    <cellStyle name="Comma  - Style8" xfId="1086"/>
    <cellStyle name="Comma [ ,]" xfId="1087"/>
    <cellStyle name="Comma []" xfId="1088"/>
    <cellStyle name="Comma [] 2" xfId="1089"/>
    <cellStyle name="Comma [] 3" xfId="1090"/>
    <cellStyle name="Comma [] 4" xfId="1091"/>
    <cellStyle name="Comma [] 5" xfId="1092"/>
    <cellStyle name="Comma [00]" xfId="1093"/>
    <cellStyle name="Comma 2" xfId="1"/>
    <cellStyle name="Comma 2 2" xfId="1094"/>
    <cellStyle name="Comma 2 2 2" xfId="1899"/>
    <cellStyle name="Comma 2 3" xfId="1095"/>
    <cellStyle name="Comma 2 4" xfId="1096"/>
    <cellStyle name="Comma 2 5" xfId="1097"/>
    <cellStyle name="Comma 2 6" xfId="1098"/>
    <cellStyle name="Comma 3" xfId="1890"/>
    <cellStyle name="Comma 3 2" xfId="1900"/>
    <cellStyle name="Comma 5" xfId="1889"/>
    <cellStyle name="Comma 7" xfId="1099"/>
    <cellStyle name="comma zerodec" xfId="1100"/>
    <cellStyle name="Comma,0" xfId="1101"/>
    <cellStyle name="Comma,1" xfId="1102"/>
    <cellStyle name="Comma,2" xfId="1103"/>
    <cellStyle name="Comma0" xfId="1104"/>
    <cellStyle name="computed cell" xfId="1105"/>
    <cellStyle name="Copied" xfId="1106"/>
    <cellStyle name="COST1" xfId="1107"/>
    <cellStyle name="Currency [00]" xfId="1108"/>
    <cellStyle name="Currency,0" xfId="1109"/>
    <cellStyle name="Currency,2" xfId="1110"/>
    <cellStyle name="Currency0" xfId="1111"/>
    <cellStyle name="Currency1" xfId="1112"/>
    <cellStyle name="Dan" xfId="1113"/>
    <cellStyle name="Date" xfId="1114"/>
    <cellStyle name="Date Short" xfId="1115"/>
    <cellStyle name="Date_Bao Cao Kiem Tra  trung bay Ke milk-yomilk CK 2" xfId="1116"/>
    <cellStyle name="DELTA" xfId="1117"/>
    <cellStyle name="Dezimal [0]_68574_Materialbedarfsliste" xfId="1118"/>
    <cellStyle name="Dezimal_68574_Materialbedarfsliste" xfId="1119"/>
    <cellStyle name="Dollar (zero dec)" xfId="1120"/>
    <cellStyle name="e" xfId="1121"/>
    <cellStyle name="E&amp;Y House" xfId="1122"/>
    <cellStyle name="EN CO.," xfId="1123"/>
    <cellStyle name="Enter Currency (0)" xfId="1124"/>
    <cellStyle name="Enter Currency (2)" xfId="1125"/>
    <cellStyle name="Enter Units (0)" xfId="1126"/>
    <cellStyle name="Enter Units (1)" xfId="1127"/>
    <cellStyle name="Enter Units (2)" xfId="1128"/>
    <cellStyle name="Entered" xfId="1129"/>
    <cellStyle name="Euro" xfId="1130"/>
    <cellStyle name="EYSheetHeader1" xfId="1131"/>
    <cellStyle name="f" xfId="1132"/>
    <cellStyle name="F2" xfId="1133"/>
    <cellStyle name="F3" xfId="1134"/>
    <cellStyle name="F4" xfId="1135"/>
    <cellStyle name="F5" xfId="1136"/>
    <cellStyle name="F6" xfId="1137"/>
    <cellStyle name="F7" xfId="1138"/>
    <cellStyle name="F8" xfId="1139"/>
    <cellStyle name="Fixed" xfId="1140"/>
    <cellStyle name="ƒnƒCƒp[ƒŠƒ“ƒN" xfId="1141"/>
    <cellStyle name="Grey" xfId="1142"/>
    <cellStyle name="ha" xfId="1143"/>
    <cellStyle name="Head 1" xfId="1144"/>
    <cellStyle name="HEADER" xfId="1145"/>
    <cellStyle name="Header1" xfId="1146"/>
    <cellStyle name="Header-1-1" xfId="1147"/>
    <cellStyle name="Header2" xfId="1148"/>
    <cellStyle name="Heading" xfId="1149"/>
    <cellStyle name="Heading1" xfId="1150"/>
    <cellStyle name="Heading2" xfId="1151"/>
    <cellStyle name="HEADINGS" xfId="1152"/>
    <cellStyle name="HEADINGSTOP" xfId="1153"/>
    <cellStyle name="headoption" xfId="1154"/>
    <cellStyle name="hidden" xfId="1155"/>
    <cellStyle name="HIDE" xfId="1156"/>
    <cellStyle name="HMRCalculated" xfId="1157"/>
    <cellStyle name="HMRInput" xfId="1158"/>
    <cellStyle name="Hoa-Scholl" xfId="1159"/>
    <cellStyle name="i·0" xfId="1160"/>
    <cellStyle name="Indent" xfId="1161"/>
    <cellStyle name="Input [yellow]" xfId="1162"/>
    <cellStyle name="Input Cells" xfId="1163"/>
    <cellStyle name="Latest Estimate" xfId="1164"/>
    <cellStyle name="Latest Estimate 2" xfId="1165"/>
    <cellStyle name="Latest Estimate 3" xfId="1166"/>
    <cellStyle name="Latest Estimate 4" xfId="1167"/>
    <cellStyle name="Latest Estimate 5" xfId="1168"/>
    <cellStyle name="Ledger 17 x 11 in" xfId="1169"/>
    <cellStyle name="lien" xfId="1170"/>
    <cellStyle name="Line" xfId="1171"/>
    <cellStyle name="Link Currency (0)" xfId="1172"/>
    <cellStyle name="Link Currency (2)" xfId="1173"/>
    <cellStyle name="Link Units (0)" xfId="1174"/>
    <cellStyle name="Link Units (1)" xfId="1175"/>
    <cellStyle name="Link Units (2)" xfId="1176"/>
    <cellStyle name="Linked Cells" xfId="1177"/>
    <cellStyle name="MARK" xfId="1178"/>
    <cellStyle name="Millares [0]_Well Timing" xfId="1179"/>
    <cellStyle name="Millares_Well Timing" xfId="1180"/>
    <cellStyle name="Milliers [0]_      " xfId="1181"/>
    <cellStyle name="Milliers_      " xfId="1182"/>
    <cellStyle name="Model" xfId="1183"/>
    <cellStyle name="moi" xfId="1184"/>
    <cellStyle name="Mon?aire [0]_      " xfId="1185"/>
    <cellStyle name="Mon?aire_      " xfId="1186"/>
    <cellStyle name="Moneda [0]_Well Timing" xfId="1187"/>
    <cellStyle name="Moneda_Well Timing" xfId="1188"/>
    <cellStyle name="Monétaire [0]_      " xfId="1189"/>
    <cellStyle name="Monétaire_      " xfId="1190"/>
    <cellStyle name="n" xfId="1191"/>
    <cellStyle name="New Times Roman" xfId="1192"/>
    <cellStyle name="no dec" xfId="1193"/>
    <cellStyle name="NoFill" xfId="1194"/>
    <cellStyle name="ÑONVÒ" xfId="1195"/>
    <cellStyle name="Normal" xfId="0" builtinId="0"/>
    <cellStyle name="Normal - Style1" xfId="1196"/>
    <cellStyle name="Normal - 유형1" xfId="1197"/>
    <cellStyle name="Normal 2" xfId="1198"/>
    <cellStyle name="Normal 2 2" xfId="1199"/>
    <cellStyle name="Normal 2 2 2" xfId="1894"/>
    <cellStyle name="Normal 2 3" xfId="1200"/>
    <cellStyle name="Normal 2 4" xfId="1201"/>
    <cellStyle name="Normal 2 5" xfId="1202"/>
    <cellStyle name="Normal 2 6" xfId="1203"/>
    <cellStyle name="Normal 3" xfId="1895"/>
    <cellStyle name="Normal 3 2" xfId="1891"/>
    <cellStyle name="Normal 4" xfId="1896"/>
    <cellStyle name="Normal 4 2 2" xfId="1892"/>
    <cellStyle name="Normal 5" xfId="1204"/>
    <cellStyle name="Normal 5 2" xfId="1205"/>
    <cellStyle name="Normal 5 3" xfId="1888"/>
    <cellStyle name="Normal1" xfId="1206"/>
    <cellStyle name="Normale_BP" xfId="1207"/>
    <cellStyle name="normální_A" xfId="1208"/>
    <cellStyle name="Œ…‹æ_Ø‚è [0.00]_ÆÂ__" xfId="1209"/>
    <cellStyle name="Œ…‹æØ‚è [0.00]_Cancel list" xfId="1210"/>
    <cellStyle name="Œ…‹æØ‚è_Cancel list" xfId="1211"/>
    <cellStyle name="oft Excel]_x000d__x000a_Comment=open=/f ‚ðw’è‚·‚é‚ÆAƒ†[ƒU[’è‹`ŠÖ”‚ðŠÖ”“\‚è•t‚¯‚Ìˆê——‚É“o˜^‚·‚é‚±‚Æ‚ª‚Å‚«‚Ü‚·B_x000d__x000a_Maximized" xfId="1212"/>
    <cellStyle name="oft Excel]_x000d__x000a_Comment=open=/f ‚ðŽw’è‚·‚é‚ÆAƒ†[ƒU[’è‹`ŠÖ”‚ðŠÖ”“\‚è•t‚¯‚Ìˆê——‚É“o˜^‚·‚é‚±‚Æ‚ª‚Å‚«‚Ü‚·B_x000d__x000a_Maximized" xfId="1213"/>
    <cellStyle name="oft Excel]_x000d__x000a_Comment=The open=/f lines load custom functions into the Paste Function list._x000d__x000a_Maximized=2_x000d__x000a_Basics=1_x000d__x000a_A" xfId="1214"/>
    <cellStyle name="oft Excel]_x000d__x000a_Comment=The open=/f lines load custom functions into the Paste Function list._x000d__x000a_Maximized=3_x000d__x000a_Basics=1_x000d__x000a_A" xfId="1215"/>
    <cellStyle name="omma [0]_Mktg Prog" xfId="1216"/>
    <cellStyle name="ormal_Sheet1_1?_x0001__x0015_Normal_Sheet1_Amer Q4?_x0001__x0012_Normal_Sheet1_FY96?_x0018_Normal_Sheet1_HC " xfId="1217"/>
    <cellStyle name="Package_numbers" xfId="1218"/>
    <cellStyle name="paint" xfId="1219"/>
    <cellStyle name="Pattern" xfId="1220"/>
    <cellStyle name="per.style" xfId="1221"/>
    <cellStyle name="Percent [0]" xfId="1222"/>
    <cellStyle name="Percent [0] 2" xfId="1223"/>
    <cellStyle name="Percent [0] 3" xfId="1224"/>
    <cellStyle name="Percent [0] 4" xfId="1225"/>
    <cellStyle name="Percent [0] 5" xfId="1226"/>
    <cellStyle name="Percent [00]" xfId="1227"/>
    <cellStyle name="Percent [00] 2" xfId="1228"/>
    <cellStyle name="Percent [00] 3" xfId="1229"/>
    <cellStyle name="Percent [00] 4" xfId="1230"/>
    <cellStyle name="Percent [00] 5" xfId="1231"/>
    <cellStyle name="Percent [2]" xfId="1232"/>
    <cellStyle name="Percent [2] 2" xfId="1233"/>
    <cellStyle name="Percent [2] 3" xfId="1234"/>
    <cellStyle name="Percent [2] 4" xfId="1235"/>
    <cellStyle name="Percent [2] 5" xfId="1236"/>
    <cellStyle name="Percent 2" xfId="1237"/>
    <cellStyle name="PERCENTAGE" xfId="1238"/>
    <cellStyle name="PrePop Currency (0)" xfId="1239"/>
    <cellStyle name="PrePop Currency (2)" xfId="1240"/>
    <cellStyle name="PrePop Units (0)" xfId="1241"/>
    <cellStyle name="PrePop Units (1)" xfId="1242"/>
    <cellStyle name="PrePop Units (2)" xfId="1243"/>
    <cellStyle name="pricing" xfId="1244"/>
    <cellStyle name="Print_header" xfId="1245"/>
    <cellStyle name="PSChar" xfId="1246"/>
    <cellStyle name="PSHeading" xfId="1247"/>
    <cellStyle name="regstoresfromspecstores" xfId="1248"/>
    <cellStyle name="RevList" xfId="1249"/>
    <cellStyle name="RevList 2" xfId="1250"/>
    <cellStyle name="RevList 3" xfId="1251"/>
    <cellStyle name="RevList 4" xfId="1252"/>
    <cellStyle name="RevList 5" xfId="1253"/>
    <cellStyle name="S—_x0008_" xfId="1254"/>
    <cellStyle name="s]_x000d__x000a_spooler=yes_x000d__x000a_load=_x000d__x000a_Beep=yes_x000d__x000a_NullPort=None_x000d__x000a_BorderWidth=3_x000d__x000a_CursorBlinkRate=1200_x000d__x000a_DoubleClickSpeed=452_x000d__x000a_Programs=co" xfId="1255"/>
    <cellStyle name="SAPBEXchaText" xfId="1256"/>
    <cellStyle name="SAPBEXstdData" xfId="1257"/>
    <cellStyle name="SAPBEXstdItem" xfId="1258"/>
    <cellStyle name="SHADEDSTORES" xfId="1259"/>
    <cellStyle name="Spaltenebene_1_主营业务利润明细表" xfId="1260"/>
    <cellStyle name="specstores" xfId="1261"/>
    <cellStyle name="Standard_9. Fixed assets-Additions list" xfId="1262"/>
    <cellStyle name="Style 1" xfId="1263"/>
    <cellStyle name="Style 1 2" xfId="1264"/>
    <cellStyle name="Style 1 3" xfId="1265"/>
    <cellStyle name="Style 1 4" xfId="1266"/>
    <cellStyle name="Style 1 5" xfId="1267"/>
    <cellStyle name="Style 10" xfId="1268"/>
    <cellStyle name="Style 100" xfId="1269"/>
    <cellStyle name="Style 101" xfId="1270"/>
    <cellStyle name="Style 102" xfId="1271"/>
    <cellStyle name="Style 103" xfId="1272"/>
    <cellStyle name="Style 104" xfId="1273"/>
    <cellStyle name="Style 105" xfId="1274"/>
    <cellStyle name="Style 106" xfId="1275"/>
    <cellStyle name="Style 107" xfId="1276"/>
    <cellStyle name="Style 108" xfId="1277"/>
    <cellStyle name="Style 109" xfId="1278"/>
    <cellStyle name="Style 11" xfId="1279"/>
    <cellStyle name="Style 110" xfId="1280"/>
    <cellStyle name="Style 111" xfId="1281"/>
    <cellStyle name="Style 112" xfId="1282"/>
    <cellStyle name="Style 113" xfId="1283"/>
    <cellStyle name="Style 114" xfId="1284"/>
    <cellStyle name="Style 115" xfId="1285"/>
    <cellStyle name="Style 116" xfId="1286"/>
    <cellStyle name="Style 117" xfId="1287"/>
    <cellStyle name="Style 118" xfId="1288"/>
    <cellStyle name="Style 119" xfId="1289"/>
    <cellStyle name="Style 12" xfId="1290"/>
    <cellStyle name="Style 120" xfId="1291"/>
    <cellStyle name="Style 121" xfId="1292"/>
    <cellStyle name="Style 122" xfId="1293"/>
    <cellStyle name="Style 123" xfId="1294"/>
    <cellStyle name="Style 124" xfId="1295"/>
    <cellStyle name="Style 125" xfId="1296"/>
    <cellStyle name="Style 126" xfId="1297"/>
    <cellStyle name="Style 127" xfId="1298"/>
    <cellStyle name="Style 128" xfId="1299"/>
    <cellStyle name="Style 129" xfId="1300"/>
    <cellStyle name="Style 13" xfId="1301"/>
    <cellStyle name="Style 130" xfId="1302"/>
    <cellStyle name="Style 131" xfId="1303"/>
    <cellStyle name="Style 132" xfId="1304"/>
    <cellStyle name="Style 133" xfId="1305"/>
    <cellStyle name="Style 134" xfId="1306"/>
    <cellStyle name="Style 135" xfId="1307"/>
    <cellStyle name="Style 136" xfId="1308"/>
    <cellStyle name="Style 137" xfId="1309"/>
    <cellStyle name="Style 138" xfId="1310"/>
    <cellStyle name="Style 139" xfId="1311"/>
    <cellStyle name="Style 14" xfId="1312"/>
    <cellStyle name="Style 140" xfId="1313"/>
    <cellStyle name="Style 141" xfId="1314"/>
    <cellStyle name="Style 142" xfId="1315"/>
    <cellStyle name="Style 143" xfId="1316"/>
    <cellStyle name="Style 144" xfId="1317"/>
    <cellStyle name="Style 145" xfId="1318"/>
    <cellStyle name="Style 146" xfId="1319"/>
    <cellStyle name="Style 147" xfId="1320"/>
    <cellStyle name="Style 148" xfId="1321"/>
    <cellStyle name="Style 149" xfId="1322"/>
    <cellStyle name="Style 15" xfId="1323"/>
    <cellStyle name="Style 150" xfId="1324"/>
    <cellStyle name="Style 151" xfId="1325"/>
    <cellStyle name="Style 152" xfId="1326"/>
    <cellStyle name="Style 153" xfId="1327"/>
    <cellStyle name="Style 154" xfId="1328"/>
    <cellStyle name="Style 155" xfId="1329"/>
    <cellStyle name="Style 156" xfId="1330"/>
    <cellStyle name="Style 157" xfId="1331"/>
    <cellStyle name="Style 158" xfId="1332"/>
    <cellStyle name="Style 159" xfId="1333"/>
    <cellStyle name="Style 16" xfId="1334"/>
    <cellStyle name="Style 160" xfId="1335"/>
    <cellStyle name="Style 161" xfId="1336"/>
    <cellStyle name="Style 162" xfId="1337"/>
    <cellStyle name="Style 163" xfId="1338"/>
    <cellStyle name="Style 164" xfId="1339"/>
    <cellStyle name="Style 165" xfId="1340"/>
    <cellStyle name="Style 166" xfId="1341"/>
    <cellStyle name="Style 167" xfId="1342"/>
    <cellStyle name="Style 168" xfId="1343"/>
    <cellStyle name="Style 169" xfId="1344"/>
    <cellStyle name="Style 17" xfId="1345"/>
    <cellStyle name="Style 170" xfId="1346"/>
    <cellStyle name="Style 171" xfId="1347"/>
    <cellStyle name="Style 172" xfId="1348"/>
    <cellStyle name="Style 173" xfId="1349"/>
    <cellStyle name="Style 174" xfId="1350"/>
    <cellStyle name="Style 175" xfId="1351"/>
    <cellStyle name="Style 176" xfId="1352"/>
    <cellStyle name="Style 177" xfId="1353"/>
    <cellStyle name="Style 178" xfId="1354"/>
    <cellStyle name="Style 179" xfId="1355"/>
    <cellStyle name="Style 18" xfId="1356"/>
    <cellStyle name="Style 180" xfId="1357"/>
    <cellStyle name="Style 181" xfId="1358"/>
    <cellStyle name="Style 182" xfId="1359"/>
    <cellStyle name="Style 183" xfId="1360"/>
    <cellStyle name="Style 184" xfId="1361"/>
    <cellStyle name="Style 185" xfId="1362"/>
    <cellStyle name="Style 186" xfId="1363"/>
    <cellStyle name="Style 187" xfId="1364"/>
    <cellStyle name="Style 188" xfId="1365"/>
    <cellStyle name="Style 189" xfId="1366"/>
    <cellStyle name="Style 19" xfId="1367"/>
    <cellStyle name="Style 190" xfId="1368"/>
    <cellStyle name="Style 191" xfId="1369"/>
    <cellStyle name="Style 192" xfId="1370"/>
    <cellStyle name="Style 193" xfId="1371"/>
    <cellStyle name="Style 194" xfId="1372"/>
    <cellStyle name="Style 195" xfId="1373"/>
    <cellStyle name="Style 196" xfId="1374"/>
    <cellStyle name="Style 197" xfId="1375"/>
    <cellStyle name="Style 198" xfId="1376"/>
    <cellStyle name="Style 199" xfId="1377"/>
    <cellStyle name="Style 2" xfId="1378"/>
    <cellStyle name="Style 20" xfId="1379"/>
    <cellStyle name="Style 200" xfId="1380"/>
    <cellStyle name="Style 201" xfId="1381"/>
    <cellStyle name="Style 202" xfId="1382"/>
    <cellStyle name="Style 203" xfId="1383"/>
    <cellStyle name="Style 204" xfId="1384"/>
    <cellStyle name="Style 205" xfId="1385"/>
    <cellStyle name="Style 206" xfId="1386"/>
    <cellStyle name="Style 207" xfId="1387"/>
    <cellStyle name="Style 208" xfId="1388"/>
    <cellStyle name="Style 209" xfId="1389"/>
    <cellStyle name="Style 21" xfId="1390"/>
    <cellStyle name="Style 210" xfId="1391"/>
    <cellStyle name="Style 211" xfId="1392"/>
    <cellStyle name="Style 212" xfId="1393"/>
    <cellStyle name="Style 213" xfId="1394"/>
    <cellStyle name="Style 214" xfId="1395"/>
    <cellStyle name="Style 215" xfId="1396"/>
    <cellStyle name="Style 216" xfId="1397"/>
    <cellStyle name="Style 217" xfId="1398"/>
    <cellStyle name="Style 218" xfId="1399"/>
    <cellStyle name="Style 219" xfId="1400"/>
    <cellStyle name="Style 22" xfId="1401"/>
    <cellStyle name="Style 220" xfId="1402"/>
    <cellStyle name="Style 221" xfId="1403"/>
    <cellStyle name="Style 222" xfId="1404"/>
    <cellStyle name="Style 223" xfId="1405"/>
    <cellStyle name="Style 224" xfId="1406"/>
    <cellStyle name="Style 225" xfId="1407"/>
    <cellStyle name="Style 226" xfId="1408"/>
    <cellStyle name="Style 227" xfId="1409"/>
    <cellStyle name="Style 228" xfId="1410"/>
    <cellStyle name="Style 229" xfId="1411"/>
    <cellStyle name="Style 23" xfId="1412"/>
    <cellStyle name="Style 230" xfId="1413"/>
    <cellStyle name="Style 231" xfId="1414"/>
    <cellStyle name="Style 232" xfId="1415"/>
    <cellStyle name="Style 233" xfId="1416"/>
    <cellStyle name="Style 234" xfId="1417"/>
    <cellStyle name="Style 235" xfId="1418"/>
    <cellStyle name="Style 236" xfId="1419"/>
    <cellStyle name="Style 237" xfId="1420"/>
    <cellStyle name="Style 238" xfId="1421"/>
    <cellStyle name="Style 239" xfId="1422"/>
    <cellStyle name="Style 24" xfId="1423"/>
    <cellStyle name="Style 25" xfId="1424"/>
    <cellStyle name="Style 26" xfId="1425"/>
    <cellStyle name="Style 27" xfId="1426"/>
    <cellStyle name="Style 28" xfId="1427"/>
    <cellStyle name="Style 29" xfId="1428"/>
    <cellStyle name="Style 3" xfId="1429"/>
    <cellStyle name="Style 30" xfId="1430"/>
    <cellStyle name="Style 31" xfId="1431"/>
    <cellStyle name="Style 32" xfId="1432"/>
    <cellStyle name="Style 33" xfId="1433"/>
    <cellStyle name="Style 34" xfId="1434"/>
    <cellStyle name="Style 35" xfId="1435"/>
    <cellStyle name="Style 36" xfId="1436"/>
    <cellStyle name="Style 37" xfId="1437"/>
    <cellStyle name="Style 38" xfId="1438"/>
    <cellStyle name="Style 39" xfId="1439"/>
    <cellStyle name="Style 4" xfId="1440"/>
    <cellStyle name="Style 40" xfId="1441"/>
    <cellStyle name="Style 41" xfId="1442"/>
    <cellStyle name="Style 42" xfId="1443"/>
    <cellStyle name="Style 43" xfId="1444"/>
    <cellStyle name="Style 44" xfId="1445"/>
    <cellStyle name="Style 45" xfId="1446"/>
    <cellStyle name="Style 46" xfId="1447"/>
    <cellStyle name="Style 47" xfId="1448"/>
    <cellStyle name="Style 48" xfId="1449"/>
    <cellStyle name="Style 49" xfId="1450"/>
    <cellStyle name="Style 5" xfId="1451"/>
    <cellStyle name="Style 50" xfId="1452"/>
    <cellStyle name="Style 51" xfId="1453"/>
    <cellStyle name="Style 52" xfId="1454"/>
    <cellStyle name="Style 53" xfId="1455"/>
    <cellStyle name="Style 54" xfId="1456"/>
    <cellStyle name="Style 55" xfId="1457"/>
    <cellStyle name="Style 56" xfId="1458"/>
    <cellStyle name="Style 57" xfId="1459"/>
    <cellStyle name="Style 58" xfId="1460"/>
    <cellStyle name="Style 59" xfId="1461"/>
    <cellStyle name="Style 6" xfId="1462"/>
    <cellStyle name="Style 60" xfId="1463"/>
    <cellStyle name="Style 61" xfId="1464"/>
    <cellStyle name="Style 62" xfId="1465"/>
    <cellStyle name="Style 63" xfId="1466"/>
    <cellStyle name="Style 64" xfId="1467"/>
    <cellStyle name="Style 65" xfId="1468"/>
    <cellStyle name="Style 66" xfId="1469"/>
    <cellStyle name="Style 67" xfId="1470"/>
    <cellStyle name="Style 68" xfId="1471"/>
    <cellStyle name="Style 69" xfId="1472"/>
    <cellStyle name="Style 7" xfId="1473"/>
    <cellStyle name="Style 70" xfId="1474"/>
    <cellStyle name="Style 71" xfId="1475"/>
    <cellStyle name="Style 72" xfId="1476"/>
    <cellStyle name="Style 73" xfId="1477"/>
    <cellStyle name="Style 74" xfId="1478"/>
    <cellStyle name="Style 75" xfId="1479"/>
    <cellStyle name="Style 76" xfId="1480"/>
    <cellStyle name="Style 77" xfId="1481"/>
    <cellStyle name="Style 78" xfId="1482"/>
    <cellStyle name="Style 79" xfId="1483"/>
    <cellStyle name="Style 8" xfId="1484"/>
    <cellStyle name="Style 80" xfId="1485"/>
    <cellStyle name="Style 81" xfId="1486"/>
    <cellStyle name="Style 82" xfId="1487"/>
    <cellStyle name="Style 83" xfId="1488"/>
    <cellStyle name="Style 84" xfId="1489"/>
    <cellStyle name="Style 85" xfId="1490"/>
    <cellStyle name="Style 86" xfId="1491"/>
    <cellStyle name="Style 87" xfId="1492"/>
    <cellStyle name="Style 88" xfId="1493"/>
    <cellStyle name="Style 89" xfId="1494"/>
    <cellStyle name="Style 9" xfId="1495"/>
    <cellStyle name="Style 90" xfId="1496"/>
    <cellStyle name="Style 91" xfId="1497"/>
    <cellStyle name="Style 92" xfId="1498"/>
    <cellStyle name="Style 93" xfId="1499"/>
    <cellStyle name="Style 94" xfId="1500"/>
    <cellStyle name="Style 95" xfId="1501"/>
    <cellStyle name="Style 96" xfId="1502"/>
    <cellStyle name="Style 97" xfId="1503"/>
    <cellStyle name="Style 98" xfId="1504"/>
    <cellStyle name="Style 99" xfId="1505"/>
    <cellStyle name="style_1" xfId="1506"/>
    <cellStyle name="STYLE1" xfId="1507"/>
    <cellStyle name="STYLE2" xfId="1508"/>
    <cellStyle name="STYLE3" xfId="1509"/>
    <cellStyle name="STYLE4" xfId="1510"/>
    <cellStyle name="STYLE5" xfId="1511"/>
    <cellStyle name="STYLE6" xfId="1512"/>
    <cellStyle name="subhead" xfId="1513"/>
    <cellStyle name="SubHeading" xfId="1514"/>
    <cellStyle name="Subtotal" xfId="1515"/>
    <cellStyle name="symbol" xfId="1516"/>
    <cellStyle name="T" xfId="1517"/>
    <cellStyle name="T_Bao cao kttb milk yomilkYAO-mien bac" xfId="1518"/>
    <cellStyle name="T_Bao cao kttb milk yomilkYAO-mien bac_BAO GIA-moi" xfId="1519"/>
    <cellStyle name="T_Bao cao kttb milk yomilkYAO-mien bac_Casement door" xfId="1520"/>
    <cellStyle name="T_Bao cao kttb milk yomilkYAO-mien bac_Casement window" xfId="1521"/>
    <cellStyle name="T_Bao cao kttb milk yomilkYAO-mien bac_Sliding door&amp;window SR_SF" xfId="1522"/>
    <cellStyle name="T_BAO GIA-moi" xfId="1523"/>
    <cellStyle name="T_BAO GIA-moi 2" xfId="1524"/>
    <cellStyle name="T_BAO GIA-moi 3" xfId="1525"/>
    <cellStyle name="T_BAO GIA-moi 4" xfId="1526"/>
    <cellStyle name="T_BAO GIA-moi 5" xfId="1527"/>
    <cellStyle name="T_BAO GIA-moi_Dat kinh so   -17082012-Nha A Trung TGD" xfId="1528"/>
    <cellStyle name="T_BAO GIA-moi_KINH NHA CO NGA 18-09-12" xfId="1529"/>
    <cellStyle name="T_BAO GIA-moi_thong ke kinh PHONG mau-sxl1" xfId="1530"/>
    <cellStyle name="T_BAO GIA-moi_thong ke kinh Tang mau-sxl1" xfId="1531"/>
    <cellStyle name="T_bc_km_ngay" xfId="1532"/>
    <cellStyle name="T_bc_km_ngay_BAO GIA-moi" xfId="1533"/>
    <cellStyle name="T_bc_km_ngay_Casement door" xfId="1534"/>
    <cellStyle name="T_bc_km_ngay_Casement window" xfId="1535"/>
    <cellStyle name="T_bc_km_ngay_Sliding door&amp;window SR_SF" xfId="1536"/>
    <cellStyle name="T_Book1" xfId="1537"/>
    <cellStyle name="T_Book1_BAO GIA-moi" xfId="1538"/>
    <cellStyle name="T_Book1_Casement door" xfId="1539"/>
    <cellStyle name="T_Book1_Casement window" xfId="1540"/>
    <cellStyle name="T_Book1_Sliding door&amp;window SR_SF" xfId="1541"/>
    <cellStyle name="T_Cac bao cao TB  Milk-Yomilk-co Ke- CK 1-Vinh Thang" xfId="1542"/>
    <cellStyle name="T_Cac bao cao TB  Milk-Yomilk-co Ke- CK 1-Vinh Thang_BAO GIA-moi" xfId="1543"/>
    <cellStyle name="T_Cac bao cao TB  Milk-Yomilk-co Ke- CK 1-Vinh Thang_Casement door" xfId="1544"/>
    <cellStyle name="T_Cac bao cao TB  Milk-Yomilk-co Ke- CK 1-Vinh Thang_Casement window" xfId="1545"/>
    <cellStyle name="T_Cac bao cao TB  Milk-Yomilk-co Ke- CK 1-Vinh Thang_Sliding door&amp;window SR_SF" xfId="1546"/>
    <cellStyle name="T_cham diem Milk chu ky2-ANH MINH" xfId="1547"/>
    <cellStyle name="T_cham diem Milk chu ky2-ANH MINH_BAO GIA-moi" xfId="1548"/>
    <cellStyle name="T_cham diem Milk chu ky2-ANH MINH_Casement door" xfId="1549"/>
    <cellStyle name="T_cham diem Milk chu ky2-ANH MINH_Casement window" xfId="1550"/>
    <cellStyle name="T_cham diem Milk chu ky2-ANH MINH_Sliding door&amp;window SR_SF" xfId="1551"/>
    <cellStyle name="T_cham trung bay ck 1 m.Bac milk co ke 2" xfId="1552"/>
    <cellStyle name="T_cham trung bay ck 1 m.Bac milk co ke 2_BAO GIA-moi" xfId="1553"/>
    <cellStyle name="T_cham trung bay ck 1 m.Bac milk co ke 2_Casement door" xfId="1554"/>
    <cellStyle name="T_cham trung bay ck 1 m.Bac milk co ke 2_Casement window" xfId="1555"/>
    <cellStyle name="T_cham trung bay ck 1 m.Bac milk co ke 2_Sliding door&amp;window SR_SF" xfId="1556"/>
    <cellStyle name="T_cham trung bay yao smart milk ck 2 mien Bac" xfId="1557"/>
    <cellStyle name="T_cham trung bay yao smart milk ck 2 mien Bac_BAO GIA-moi" xfId="1558"/>
    <cellStyle name="T_cham trung bay yao smart milk ck 2 mien Bac_Casement door" xfId="1559"/>
    <cellStyle name="T_cham trung bay yao smart milk ck 2 mien Bac_Casement window" xfId="1560"/>
    <cellStyle name="T_cham trung bay yao smart milk ck 2 mien Bac_Sliding door&amp;window SR_SF" xfId="1561"/>
    <cellStyle name="T_Chi_phi_627_theo_thang_08 " xfId="1562"/>
    <cellStyle name="T_Chi_phi_627_theo_thang_08 _BAO GIA-moi" xfId="1563"/>
    <cellStyle name="T_Chi_phi_627_theo_thang_08 _Casement door" xfId="1564"/>
    <cellStyle name="T_Chi_phi_627_theo_thang_08 _Casement window" xfId="1565"/>
    <cellStyle name="T_Chi_phi_627_theo_thang_08 _Sliding door&amp;window SR_SF" xfId="1566"/>
    <cellStyle name="T_Cong bo thong tin tom tat Q42007 " xfId="1567"/>
    <cellStyle name="T_Cong bo thong tin tom tat Q42007 _BAO GIA-moi" xfId="1568"/>
    <cellStyle name="T_Cong bo thong tin tom tat Q42007 _BAO GIA-moi 2" xfId="1569"/>
    <cellStyle name="T_Cong bo thong tin tom tat Q42007 _BAO GIA-moi 3" xfId="1570"/>
    <cellStyle name="T_Cong bo thong tin tom tat Q42007 _BAO GIA-moi 4" xfId="1571"/>
    <cellStyle name="T_Cong bo thong tin tom tat Q42007 _BAO GIA-moi 5" xfId="1572"/>
    <cellStyle name="T_Cong bo thong tin tom tat Q42007 _BAO GIA-moi_Dat kinh so   -17082012-Nha A Trung TGD" xfId="1573"/>
    <cellStyle name="T_Cong bo thong tin tom tat Q42007 _BAO GIA-moi_KINH NHA CO NGA 18-09-12" xfId="1574"/>
    <cellStyle name="T_Cong bo thong tin tom tat Q42007 _BAO GIA-moi_thong ke kinh PHONG mau-sxl1" xfId="1575"/>
    <cellStyle name="T_Cong bo thong tin tom tat Q42007 _BAO GIA-moi_thong ke kinh Tang mau-sxl1" xfId="1576"/>
    <cellStyle name="T_Cong bo thong tin tom tat Q42007 _CSMH 1C" xfId="1577"/>
    <cellStyle name="T_Cong bo thong tin tom tat Q42007 _Sliding door&amp;window SR_SF" xfId="1578"/>
    <cellStyle name="T_Cong bo thong tin tom tat Q42007 _Sliding door&amp;window SR_SF 2" xfId="1579"/>
    <cellStyle name="T_Cong bo thong tin tom tat Q42007 _Sliding door&amp;window SR_SF 3" xfId="1580"/>
    <cellStyle name="T_Cong bo thong tin tom tat Q42007 _Sliding door&amp;window SR_SF 4" xfId="1581"/>
    <cellStyle name="T_Cong bo thong tin tom tat Q42007 _Sliding door&amp;window SR_SF 5" xfId="1582"/>
    <cellStyle name="T_Cong bo thong tin tom tat Q42007 _Sliding door&amp;window SR_SF_Dat kinh so   -17082012-Nha A Trung TGD" xfId="1583"/>
    <cellStyle name="T_Cong bo thong tin tom tat Q42007 _Sliding door&amp;window SR_SF_KINH NHA CO NGA 18-09-12" xfId="1584"/>
    <cellStyle name="T_Cong bo thong tin tom tat Q42007 _Sliding door&amp;window SR_SF_thong ke kinh PHONG mau-sxl1" xfId="1585"/>
    <cellStyle name="T_Cong bo thong tin tom tat Q42007 _Sliding door&amp;window SR_SF_thong ke kinh Tang mau-sxl1" xfId="1586"/>
    <cellStyle name="T_CSMH 1C" xfId="1587"/>
    <cellStyle name="T_danh sach chua nop bcao trung bay sua chua  tinh den 1-3-06" xfId="1588"/>
    <cellStyle name="T_danh sach chua nop bcao trung bay sua chua  tinh den 1-3-06_BAO GIA-moi" xfId="1589"/>
    <cellStyle name="T_danh sach chua nop bcao trung bay sua chua  tinh den 1-3-06_Casement door" xfId="1590"/>
    <cellStyle name="T_danh sach chua nop bcao trung bay sua chua  tinh den 1-3-06_Casement window" xfId="1591"/>
    <cellStyle name="T_danh sach chua nop bcao trung bay sua chua  tinh den 1-3-06_Sliding door&amp;window SR_SF" xfId="1592"/>
    <cellStyle name="T_Danh sach KH TB MilkYomilk Yao  Smart chu ky 2-Vinh Thang" xfId="1593"/>
    <cellStyle name="T_Danh sach KH TB MilkYomilk Yao  Smart chu ky 2-Vinh Thang_BAO GIA-moi" xfId="1594"/>
    <cellStyle name="T_Danh sach KH TB MilkYomilk Yao  Smart chu ky 2-Vinh Thang_Casement door" xfId="1595"/>
    <cellStyle name="T_Danh sach KH TB MilkYomilk Yao  Smart chu ky 2-Vinh Thang_Casement window" xfId="1596"/>
    <cellStyle name="T_Danh sach KH TB MilkYomilk Yao  Smart chu ky 2-Vinh Thang_Sliding door&amp;window SR_SF" xfId="1597"/>
    <cellStyle name="T_Danh sach KH trung bay MilkYomilk co ke chu ky 2-Vinh Thang" xfId="1598"/>
    <cellStyle name="T_Danh sach KH trung bay MilkYomilk co ke chu ky 2-Vinh Thang_BAO GIA-moi" xfId="1599"/>
    <cellStyle name="T_Danh sach KH trung bay MilkYomilk co ke chu ky 2-Vinh Thang_Casement door" xfId="1600"/>
    <cellStyle name="T_Danh sach KH trung bay MilkYomilk co ke chu ky 2-Vinh Thang_Casement window" xfId="1601"/>
    <cellStyle name="T_Danh sach KH trung bay MilkYomilk co ke chu ky 2-Vinh Thang_Sliding door&amp;window SR_SF" xfId="1602"/>
    <cellStyle name="T_DSACH MILK YO MILK CK 2 M.BAC" xfId="1603"/>
    <cellStyle name="T_DSACH MILK YO MILK CK 2 M.BAC_BAO GIA-moi" xfId="1604"/>
    <cellStyle name="T_DSACH MILK YO MILK CK 2 M.BAC_Casement door" xfId="1605"/>
    <cellStyle name="T_DSACH MILK YO MILK CK 2 M.BAC_Casement window" xfId="1606"/>
    <cellStyle name="T_DSACH MILK YO MILK CK 2 M.BAC_Sliding door&amp;window SR_SF" xfId="1607"/>
    <cellStyle name="T_DSKH Tbay Milk , Yomilk CK 2 Vu Thi Hanh" xfId="1608"/>
    <cellStyle name="T_DSKH Tbay Milk , Yomilk CK 2 Vu Thi Hanh_BAO GIA-moi" xfId="1609"/>
    <cellStyle name="T_DSKH Tbay Milk , Yomilk CK 2 Vu Thi Hanh_Casement door" xfId="1610"/>
    <cellStyle name="T_DSKH Tbay Milk , Yomilk CK 2 Vu Thi Hanh_Casement window" xfId="1611"/>
    <cellStyle name="T_DSKH Tbay Milk , Yomilk CK 2 Vu Thi Hanh_Sliding door&amp;window SR_SF" xfId="1612"/>
    <cellStyle name="T_form ton kho CK 2 tuan 8" xfId="1613"/>
    <cellStyle name="T_form ton kho CK 2 tuan 8_BAO GIA-moi" xfId="1614"/>
    <cellStyle name="T_form ton kho CK 2 tuan 8_Casement door" xfId="1615"/>
    <cellStyle name="T_form ton kho CK 2 tuan 8_Casement window" xfId="1616"/>
    <cellStyle name="T_form ton kho CK 2 tuan 8_Sliding door&amp;window SR_SF" xfId="1617"/>
    <cellStyle name="T_HAN SU DUNG" xfId="1618"/>
    <cellStyle name="T_HAN SU DUNG_BAO GIA-moi" xfId="1619"/>
    <cellStyle name="T_HAN SU DUNG_Casement door" xfId="1620"/>
    <cellStyle name="T_HAN SU DUNG_Casement window" xfId="1621"/>
    <cellStyle name="T_HAN SU DUNG_Sliding door&amp;window SR_SF" xfId="1622"/>
    <cellStyle name="T_Harada - WTB 31.12.06 v10" xfId="1623"/>
    <cellStyle name="T_Harada - WTB 31.12.06 v10_BAO GIA-moi" xfId="1624"/>
    <cellStyle name="T_Harada - WTB 31.12.06 v10_Casement door" xfId="1625"/>
    <cellStyle name="T_Harada - WTB 31.12.06 v10_Casement window" xfId="1626"/>
    <cellStyle name="T_Harada - WTB 31.12.06 v10_Sliding door&amp;window SR_SF" xfId="1627"/>
    <cellStyle name="T_KD - Stock WPs - NTHH" xfId="1628"/>
    <cellStyle name="T_KD - Stock WPs - NTHH_BAO GIA-moi" xfId="1629"/>
    <cellStyle name="T_KD - Stock WPs - NTHH_BAO GIA-moi 2" xfId="1630"/>
    <cellStyle name="T_KD - Stock WPs - NTHH_BAO GIA-moi 3" xfId="1631"/>
    <cellStyle name="T_KD - Stock WPs - NTHH_BAO GIA-moi 4" xfId="1632"/>
    <cellStyle name="T_KD - Stock WPs - NTHH_BAO GIA-moi 5" xfId="1633"/>
    <cellStyle name="T_KD - Stock WPs - NTHH_BAO GIA-moi_Dat kinh so   -17082012-Nha A Trung TGD" xfId="1634"/>
    <cellStyle name="T_KD - Stock WPs - NTHH_BAO GIA-moi_KINH NHA CO NGA 18-09-12" xfId="1635"/>
    <cellStyle name="T_KD - Stock WPs - NTHH_BAO GIA-moi_thong ke kinh PHONG mau-sxl1" xfId="1636"/>
    <cellStyle name="T_KD - Stock WPs - NTHH_BAO GIA-moi_thong ke kinh Tang mau-sxl1" xfId="1637"/>
    <cellStyle name="T_KD - Stock WPs - NTHH_CSMH 1C" xfId="1638"/>
    <cellStyle name="T_KD - Stock WPs - NTHH_Sliding door&amp;window SR_SF" xfId="1639"/>
    <cellStyle name="T_KD - Stock WPs - NTHH_Sliding door&amp;window SR_SF 2" xfId="1640"/>
    <cellStyle name="T_KD - Stock WPs - NTHH_Sliding door&amp;window SR_SF 3" xfId="1641"/>
    <cellStyle name="T_KD - Stock WPs - NTHH_Sliding door&amp;window SR_SF 4" xfId="1642"/>
    <cellStyle name="T_KD - Stock WPs - NTHH_Sliding door&amp;window SR_SF 5" xfId="1643"/>
    <cellStyle name="T_KD - Stock WPs - NTHH_Sliding door&amp;window SR_SF_Dat kinh so   -17082012-Nha A Trung TGD" xfId="1644"/>
    <cellStyle name="T_KD - Stock WPs - NTHH_Sliding door&amp;window SR_SF_KINH NHA CO NGA 18-09-12" xfId="1645"/>
    <cellStyle name="T_KD - Stock WPs - NTHH_Sliding door&amp;window SR_SF_thong ke kinh PHONG mau-sxl1" xfId="1646"/>
    <cellStyle name="T_KD - Stock WPs - NTHH_Sliding door&amp;window SR_SF_thong ke kinh Tang mau-sxl1" xfId="1647"/>
    <cellStyle name="T_Long term prepayments" xfId="1648"/>
    <cellStyle name="T_Long term prepayments_BAO GIA-moi" xfId="1649"/>
    <cellStyle name="T_Long term prepayments_BAO GIA-moi 2" xfId="1650"/>
    <cellStyle name="T_Long term prepayments_BAO GIA-moi 3" xfId="1651"/>
    <cellStyle name="T_Long term prepayments_BAO GIA-moi 4" xfId="1652"/>
    <cellStyle name="T_Long term prepayments_BAO GIA-moi 5" xfId="1653"/>
    <cellStyle name="T_Long term prepayments_BAO GIA-moi_Dat kinh so   -17082012-Nha A Trung TGD" xfId="1654"/>
    <cellStyle name="T_Long term prepayments_BAO GIA-moi_KINH NHA CO NGA 18-09-12" xfId="1655"/>
    <cellStyle name="T_Long term prepayments_BAO GIA-moi_thong ke kinh PHONG mau-sxl1" xfId="1656"/>
    <cellStyle name="T_Long term prepayments_BAO GIA-moi_thong ke kinh Tang mau-sxl1" xfId="1657"/>
    <cellStyle name="T_Long term prepayments_CSMH 1C" xfId="1658"/>
    <cellStyle name="T_Long term prepayments_Sliding door&amp;window SR_SF" xfId="1659"/>
    <cellStyle name="T_Long term prepayments_Sliding door&amp;window SR_SF 2" xfId="1660"/>
    <cellStyle name="T_Long term prepayments_Sliding door&amp;window SR_SF 3" xfId="1661"/>
    <cellStyle name="T_Long term prepayments_Sliding door&amp;window SR_SF 4" xfId="1662"/>
    <cellStyle name="T_Long term prepayments_Sliding door&amp;window SR_SF 5" xfId="1663"/>
    <cellStyle name="T_Long term prepayments_Sliding door&amp;window SR_SF_Dat kinh so   -17082012-Nha A Trung TGD" xfId="1664"/>
    <cellStyle name="T_Long term prepayments_Sliding door&amp;window SR_SF_KINH NHA CO NGA 18-09-12" xfId="1665"/>
    <cellStyle name="T_Long term prepayments_Sliding door&amp;window SR_SF_thong ke kinh PHONG mau-sxl1" xfId="1666"/>
    <cellStyle name="T_Long term prepayments_Sliding door&amp;window SR_SF_thong ke kinh Tang mau-sxl1" xfId="1667"/>
    <cellStyle name="T_mau Bao gia cua nhua uPVC " xfId="1668"/>
    <cellStyle name="T_NPP Khanh Vinh Thai Nguyen - BC KTTB_CTrinh_TB__20_loc__Milk_Yomilk_CK1" xfId="1669"/>
    <cellStyle name="T_NPP Khanh Vinh Thai Nguyen - BC KTTB_CTrinh_TB__20_loc__Milk_Yomilk_CK1_BAO GIA-moi" xfId="1670"/>
    <cellStyle name="T_NPP Khanh Vinh Thai Nguyen - BC KTTB_CTrinh_TB__20_loc__Milk_Yomilk_CK1_Casement door" xfId="1671"/>
    <cellStyle name="T_NPP Khanh Vinh Thai Nguyen - BC KTTB_CTrinh_TB__20_loc__Milk_Yomilk_CK1_Casement window" xfId="1672"/>
    <cellStyle name="T_NPP Khanh Vinh Thai Nguyen - BC KTTB_CTrinh_TB__20_loc__Milk_Yomilk_CK1_Sliding door&amp;window SR_SF" xfId="1673"/>
    <cellStyle name="T_Sheet1" xfId="1674"/>
    <cellStyle name="T_Sheet1_BAO GIA-moi" xfId="1675"/>
    <cellStyle name="T_Sheet1_Casement door" xfId="1676"/>
    <cellStyle name="T_Sheet1_Casement window" xfId="1677"/>
    <cellStyle name="T_Sheet1_Sliding door&amp;window SR_SF" xfId="1678"/>
    <cellStyle name="T_Sliding door&amp;window SR_SF" xfId="1679"/>
    <cellStyle name="T_Sliding door&amp;window SR_SF 2" xfId="1680"/>
    <cellStyle name="T_Sliding door&amp;window SR_SF 3" xfId="1681"/>
    <cellStyle name="T_Sliding door&amp;window SR_SF 4" xfId="1682"/>
    <cellStyle name="T_Sliding door&amp;window SR_SF 5" xfId="1683"/>
    <cellStyle name="T_Sliding door&amp;window SR_SF_Dat kinh so   -17082012-Nha A Trung TGD" xfId="1684"/>
    <cellStyle name="T_Sliding door&amp;window SR_SF_KINH NHA CO NGA 18-09-12" xfId="1685"/>
    <cellStyle name="T_Sliding door&amp;window SR_SF_thong ke kinh PHONG mau-sxl1" xfId="1686"/>
    <cellStyle name="T_Sliding door&amp;window SR_SF_thong ke kinh Tang mau-sxl1" xfId="1687"/>
    <cellStyle name="T_sua chua cham trung bay  mien Bac" xfId="1688"/>
    <cellStyle name="T_sua chua cham trung bay  mien Bac_BAO GIA-moi" xfId="1689"/>
    <cellStyle name="T_sua chua cham trung bay  mien Bac_Casement door" xfId="1690"/>
    <cellStyle name="T_sua chua cham trung bay  mien Bac_Casement window" xfId="1691"/>
    <cellStyle name="T_sua chua cham trung bay  mien Bac_Sliding door&amp;window SR_SF" xfId="1692"/>
    <cellStyle name="T_tong kho 31.12.06" xfId="1693"/>
    <cellStyle name="T_tong kho 31.12.06_BAO GIA-moi" xfId="1694"/>
    <cellStyle name="T_tong kho 31.12.06_Casement door" xfId="1695"/>
    <cellStyle name="T_tong kho 31.12.06_Casement window" xfId="1696"/>
    <cellStyle name="T_tong kho 31.12.06_Sliding door&amp;window SR_SF" xfId="1697"/>
    <cellStyle name="Text" xfId="1698"/>
    <cellStyle name="Text Indent A" xfId="1699"/>
    <cellStyle name="Text Indent B" xfId="1700"/>
    <cellStyle name="Text Indent B 2" xfId="1701"/>
    <cellStyle name="Text Indent B 3" xfId="1702"/>
    <cellStyle name="Text Indent B 4" xfId="1703"/>
    <cellStyle name="Text Indent B 5" xfId="1704"/>
    <cellStyle name="Text Indent C" xfId="1705"/>
    <cellStyle name="Text Indent C 2" xfId="1706"/>
    <cellStyle name="Text Indent C 3" xfId="1707"/>
    <cellStyle name="Text Indent C 4" xfId="1708"/>
    <cellStyle name="Text Indent C 5" xfId="1709"/>
    <cellStyle name="Text_BAO GIA-moi" xfId="1710"/>
    <cellStyle name="th" xfId="1711"/>
    <cellStyle name="þ_x001d_" xfId="1712"/>
    <cellStyle name="th_BAO GIA-moi" xfId="1713"/>
    <cellStyle name="Thanh" xfId="1714"/>
    <cellStyle name="þ_x001d_ð¤_x000c_¯" xfId="1715"/>
    <cellStyle name="þ_x001d_ð¤_x000c_¯þ_x0014__x000d_¨" xfId="1716"/>
    <cellStyle name="þ_x001d_ð¤_x000c_¯þ_x0014__x000d_¨þU_x0001_À_x0004_ _x0015__x000f__x0001__x0001_" xfId="1717"/>
    <cellStyle name="þ_x001d_ð·_x000c_æþ'_x000d_ßþU_x0001_Ø_x0005_ü_x0014__x0007__x0001__x0001_" xfId="1718"/>
    <cellStyle name="þ_x001d_ð·_x000c_æþ'_x000d_ßþU_x0001_Ø_x0005_ü_x0014__x0007__x0001__x0001_ 2" xfId="1719"/>
    <cellStyle name="þ_x001d_ð·_x000c_æþ'_x000d_ßþU_x0001_Ø_x0005_ü_x0014__x0007__x0001__x0001_ 3" xfId="1720"/>
    <cellStyle name="þ_x001d_ð·_x000c_æþ'_x000d_ßþU_x0001_Ø_x0005_ü_x0014__x0007__x0001__x0001_ 4" xfId="1721"/>
    <cellStyle name="þ_x001d_ð·_x000c_æþ'_x000d_ßþU_x0001_Ø_x0005_ü_x0014__x0007__x0001__x0001_ 5" xfId="1722"/>
    <cellStyle name="þ_x001d_ð·_x000c_æþ'_x000d_ßþU_x0001_Ø_x0005_ü_x0014__x0007__x0001__x0001__Dat kinh so   -17082012-Nha A Trung TGD" xfId="1723"/>
    <cellStyle name="þ_x001d_ð2_x000c_ëþ_x0002__x000d_ÞþU_x0001_R_x0006_—_x0007__x0007__x0001__x0001_" xfId="1724"/>
    <cellStyle name="þ_x001d_ð2_x000c_ëþ_x0002__x000d_ÞþU_x0001_R_x0006_—_x0007__x0007__x0001__x0001_ 2" xfId="1725"/>
    <cellStyle name="þ_x001d_ð2_x000c_ëþ_x0002__x000d_ÞþU_x0001_R_x0006_—_x0007__x0007__x0001__x0001_ 3" xfId="1726"/>
    <cellStyle name="þ_x001d_ð2_x000c_ëþ_x0002__x000d_ÞþU_x0001_R_x0006_—_x0007__x0007__x0001__x0001_ 4" xfId="1727"/>
    <cellStyle name="þ_x001d_ð2_x000c_ëþ_x0002__x000d_ÞþU_x0001_R_x0006_—_x0007__x0007__x0001__x0001_ 5" xfId="1728"/>
    <cellStyle name="þ_x001d_ðK_x000c_Fý_x001b_" xfId="1729"/>
    <cellStyle name="þ_x001d_ðK_x000c_Fý_x001b__x000d_" xfId="1730"/>
    <cellStyle name="þ_x001d_ðK_x000c_Fý_x001b__x000d_9" xfId="1731"/>
    <cellStyle name="þ_x001d_ðK_x000c_Fý_x001b__x000d_9ýU" xfId="1732"/>
    <cellStyle name="þ_x001d_ðK_x000c_Fý_x001b__x000d_9ýU_x0001_Ð" xfId="1733"/>
    <cellStyle name="þ_x001d_ðK_x000c_Fý_x001b__x000d_9ýU_x0001_Ð_x0008_" xfId="1734"/>
    <cellStyle name="þ_x001d_ðK_x000c_Fý_x001b__x000d_9ýU_x0001_Ð_BAO GIA-moi" xfId="1735"/>
    <cellStyle name="þ_x001d_ðK_x000c_Fý_x001b__x000d_9ýU_x0001_Ð_x0008_¦)_x0007__x0001__x0001_" xfId="1736"/>
    <cellStyle name="þ_x001d_ðK_x000c_Fý_x001b__BAO GIA-moi" xfId="1737"/>
    <cellStyle name="Times New Roman" xfId="1738"/>
    <cellStyle name="trang" xfId="1739"/>
    <cellStyle name="ts" xfId="1740"/>
    <cellStyle name="ts 2" xfId="1741"/>
    <cellStyle name="ts 3" xfId="1742"/>
    <cellStyle name="ts 4" xfId="1743"/>
    <cellStyle name="ts 5" xfId="1744"/>
    <cellStyle name="Tusental (0)_pldt" xfId="1745"/>
    <cellStyle name="Tusental_pldt" xfId="1746"/>
    <cellStyle name="UNIDAGSCode" xfId="1747"/>
    <cellStyle name="UNIDAGSCode 2" xfId="1748"/>
    <cellStyle name="UNIDAGSCode 3" xfId="1749"/>
    <cellStyle name="UNIDAGSCode 4" xfId="1750"/>
    <cellStyle name="UNIDAGSCode 5" xfId="1751"/>
    <cellStyle name="UNIDAGSCode2" xfId="1752"/>
    <cellStyle name="UNIDAGSCurrency" xfId="1753"/>
    <cellStyle name="UNIDAGSCurrency 2" xfId="1754"/>
    <cellStyle name="UNIDAGSCurrency 3" xfId="1755"/>
    <cellStyle name="UNIDAGSCurrency 4" xfId="1756"/>
    <cellStyle name="UNIDAGSCurrency 5" xfId="1757"/>
    <cellStyle name="UNIDAGSDate" xfId="1758"/>
    <cellStyle name="UNIDAGSDate 2" xfId="1759"/>
    <cellStyle name="UNIDAGSDate 3" xfId="1760"/>
    <cellStyle name="UNIDAGSDate 4" xfId="1761"/>
    <cellStyle name="UNIDAGSDate 5" xfId="1762"/>
    <cellStyle name="UNIDAGSPercent" xfId="1763"/>
    <cellStyle name="UNIDAGSPercent 2" xfId="1764"/>
    <cellStyle name="UNIDAGSPercent 3" xfId="1765"/>
    <cellStyle name="UNIDAGSPercent 4" xfId="1766"/>
    <cellStyle name="UNIDAGSPercent 5" xfId="1767"/>
    <cellStyle name="UNIDAGSPercent2" xfId="1768"/>
    <cellStyle name="UNIDAGSPercent2 2" xfId="1769"/>
    <cellStyle name="UNIDAGSPercent2 3" xfId="1770"/>
    <cellStyle name="UNIDAGSPercent2 4" xfId="1771"/>
    <cellStyle name="UNIDAGSPercent2 5" xfId="1772"/>
    <cellStyle name="Valuta (0)_pldt" xfId="1773"/>
    <cellStyle name="Valuta_pldt" xfId="1774"/>
    <cellStyle name="viet" xfId="1775"/>
    <cellStyle name="viet2" xfId="1776"/>
    <cellStyle name="VN new romanNormal" xfId="1777"/>
    <cellStyle name="VN time new roman" xfId="1778"/>
    <cellStyle name="vnbo" xfId="1779"/>
    <cellStyle name="vnhead1" xfId="1780"/>
    <cellStyle name="vnhead2" xfId="1781"/>
    <cellStyle name="vnhead3" xfId="1782"/>
    <cellStyle name="vnhead4" xfId="1783"/>
    <cellStyle name="vntxt1" xfId="1784"/>
    <cellStyle name="vntxt2" xfId="1785"/>
    <cellStyle name="Währung [0]_68574_Materialbedarfsliste" xfId="1786"/>
    <cellStyle name="Währung_68574_Materialbedarfsliste" xfId="1787"/>
    <cellStyle name="xuan" xfId="1788"/>
    <cellStyle name="Zeilenebene_1_主营业务利润明细表" xfId="1789"/>
    <cellStyle name="センター" xfId="1790"/>
    <cellStyle name="เครื่องหมายสกุลเงิน [0]_FTC_OFFER" xfId="1791"/>
    <cellStyle name="เครื่องหมายสกุลเงิน_FTC_OFFER" xfId="1792"/>
    <cellStyle name="เซลล์ตรวจสอบ" xfId="1793"/>
    <cellStyle name="เซลล์ที่มีการเชื่อมโยง" xfId="1794"/>
    <cellStyle name="แย่" xfId="1795"/>
    <cellStyle name="แสดงผล" xfId="1796"/>
    <cellStyle name="การคำนวณ" xfId="1797"/>
    <cellStyle name="ข้อความเตือน" xfId="1798"/>
    <cellStyle name="ข้อความอธิบาย" xfId="1799"/>
    <cellStyle name="ชื่อเรื่อง" xfId="1800"/>
    <cellStyle name="ดี" xfId="1801"/>
    <cellStyle name="ปกติ_FTC_OFFER" xfId="1802"/>
    <cellStyle name="ป้อนค่า" xfId="1803"/>
    <cellStyle name="ปานกลาง" xfId="1804"/>
    <cellStyle name="ผลรวม" xfId="1805"/>
    <cellStyle name="ส่วนที่ถูกเน้น1" xfId="1806"/>
    <cellStyle name="ส่วนที่ถูกเน้น2" xfId="1807"/>
    <cellStyle name="ส่วนที่ถูกเน้น3" xfId="1808"/>
    <cellStyle name="ส่วนที่ถูกเน้น4" xfId="1809"/>
    <cellStyle name="ส่วนที่ถูกเน้น5" xfId="1810"/>
    <cellStyle name="ส่วนที่ถูกเน้น6" xfId="1811"/>
    <cellStyle name="หมายเหตุ" xfId="1812"/>
    <cellStyle name="หัวเรื่อง 1" xfId="1813"/>
    <cellStyle name="หัวเรื่อง 2" xfId="1814"/>
    <cellStyle name="หัวเรื่อง 3" xfId="1815"/>
    <cellStyle name="หัวเรื่อง 4" xfId="1816"/>
    <cellStyle name=" [0.00]_ Att. 1- Cover" xfId="1817"/>
    <cellStyle name="_ Att. 1- Cover" xfId="1818"/>
    <cellStyle name="?_ Att. 1- Cover" xfId="1819"/>
    <cellStyle name="고정소숫점" xfId="1820"/>
    <cellStyle name="고정출력1" xfId="1821"/>
    <cellStyle name="고정출력2" xfId="1822"/>
    <cellStyle name="날짜" xfId="1823"/>
    <cellStyle name="달러" xfId="1824"/>
    <cellStyle name="똿뗦먛귟 [0.00]_PRODUCT DETAIL Q1" xfId="1825"/>
    <cellStyle name="똿뗦먛귟_PRODUCT DETAIL Q1" xfId="1826"/>
    <cellStyle name="믅됞 [0.00]_PRODUCT DETAIL Q1" xfId="1827"/>
    <cellStyle name="믅됞_PRODUCT DETAIL Q1" xfId="1828"/>
    <cellStyle name="백분율_††††† " xfId="1829"/>
    <cellStyle name="뷭?_BOOKSHIP" xfId="1830"/>
    <cellStyle name="숫자(R)" xfId="1831"/>
    <cellStyle name="쉼표 [0]_FABTEC AIR USA PANT 230302" xfId="1832"/>
    <cellStyle name="쉼표_Sample plan" xfId="1833"/>
    <cellStyle name="자리수" xfId="1834"/>
    <cellStyle name="자리수0" xfId="1835"/>
    <cellStyle name="콤마 [ - 유형1" xfId="1836"/>
    <cellStyle name="콤마 [ - 유형2" xfId="1837"/>
    <cellStyle name="콤마 [ - 유형3" xfId="1838"/>
    <cellStyle name="콤마 [ - 유형4" xfId="1839"/>
    <cellStyle name="콤마 [ - 유형5" xfId="1840"/>
    <cellStyle name="콤마 [ - 유형6" xfId="1841"/>
    <cellStyle name="콤마 [ - 유형7" xfId="1842"/>
    <cellStyle name="콤마 [ - 유형8" xfId="1843"/>
    <cellStyle name="콤마 [0]_ 비목별 월별기술 " xfId="1844"/>
    <cellStyle name="콤마_ 비목별 월별기술 " xfId="1845"/>
    <cellStyle name="통화 [0]_(type)총괄" xfId="1846"/>
    <cellStyle name="통화_(type)총괄" xfId="1847"/>
    <cellStyle name="퍼센트" xfId="1848"/>
    <cellStyle name="표준_(type)총괄" xfId="1849"/>
    <cellStyle name="합산" xfId="1850"/>
    <cellStyle name="화폐기호" xfId="1851"/>
    <cellStyle name="화폐기호0" xfId="1852"/>
    <cellStyle name="一般_00Q3902REV.1" xfId="1853"/>
    <cellStyle name="千位[0]_pldt" xfId="1854"/>
    <cellStyle name="千位_pldt" xfId="1855"/>
    <cellStyle name="千位分隔_2002固定资产明细表" xfId="1856"/>
    <cellStyle name="千分位[0]_00Q3902REV.1" xfId="1857"/>
    <cellStyle name="千分位_00Q3902REV.1" xfId="1858"/>
    <cellStyle name="后继超级链接_销售公司-2002年报表体系（12.21）" xfId="1859"/>
    <cellStyle name="已瀏覽過的超連結" xfId="1860"/>
    <cellStyle name="常?_Sales Forecast - TCLVN" xfId="1861"/>
    <cellStyle name="常规 19" xfId="1893"/>
    <cellStyle name="常规 19 2" xfId="1897"/>
    <cellStyle name="常规 4" xfId="1898"/>
    <cellStyle name="常规_4403-200312" xfId="1862"/>
    <cellStyle name="桁区切り [0.00]_††††† " xfId="1863"/>
    <cellStyle name="桁区切り_††††† " xfId="1864"/>
    <cellStyle name="標準_(A1)BOQ " xfId="1865"/>
    <cellStyle name="貨幣 [0]_00Q3902REV.1" xfId="1866"/>
    <cellStyle name="貨幣[0]_BRE" xfId="1867"/>
    <cellStyle name="貨幣_00Q3902REV.1" xfId="1868"/>
    <cellStyle name="超级链接_销售公司-2002年报表体系（12.21）" xfId="1869"/>
    <cellStyle name="超連結" xfId="1870"/>
    <cellStyle name="超連結_x000f_" xfId="1871"/>
    <cellStyle name="超連結_x000d_" xfId="1872"/>
    <cellStyle name="超連結??汸" xfId="1873"/>
    <cellStyle name="超連結?w?" xfId="1874"/>
    <cellStyle name="超連結?潒?" xfId="1875"/>
    <cellStyle name="超連結♇⹡汸" xfId="1876"/>
    <cellStyle name="超連結⁷潒慭" xfId="1877"/>
    <cellStyle name="超連結敎w慭" xfId="1878"/>
    <cellStyle name="通貨 [0.00]_††††† " xfId="1879"/>
    <cellStyle name="通貨_††††† " xfId="1880"/>
    <cellStyle name="隨後的超連結" xfId="1881"/>
    <cellStyle name="隨後的超連結n_x0003_" xfId="1882"/>
    <cellStyle name="隨後的超連結n汸s?呃L" xfId="1883"/>
    <cellStyle name="隨後的超連結n汸s䱘呃L" xfId="1884"/>
    <cellStyle name="隨後的超連結s?呃L?R" xfId="1885"/>
    <cellStyle name="隨後的超連結s䱘呃L䄀R" xfId="1886"/>
    <cellStyle name="非表示" xfId="18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97" Type="http://schemas.openxmlformats.org/officeDocument/2006/relationships/image" Target="../media/image97.emf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emf"/><Relationship Id="rId102" Type="http://schemas.openxmlformats.org/officeDocument/2006/relationships/image" Target="../media/image102.emf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100" Type="http://schemas.openxmlformats.org/officeDocument/2006/relationships/image" Target="../media/image100.emf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97" Type="http://schemas.openxmlformats.org/officeDocument/2006/relationships/image" Target="../media/image97.emf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87" Type="http://schemas.openxmlformats.org/officeDocument/2006/relationships/image" Target="../media/image87.emf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26" Type="http://schemas.openxmlformats.org/officeDocument/2006/relationships/image" Target="../media/image83.emf"/><Relationship Id="rId39" Type="http://schemas.openxmlformats.org/officeDocument/2006/relationships/image" Target="../media/image32.png"/><Relationship Id="rId21" Type="http://schemas.openxmlformats.org/officeDocument/2006/relationships/image" Target="../media/image78.png"/><Relationship Id="rId34" Type="http://schemas.openxmlformats.org/officeDocument/2006/relationships/image" Target="../media/image27.png"/><Relationship Id="rId42" Type="http://schemas.openxmlformats.org/officeDocument/2006/relationships/image" Target="../media/image38.png"/><Relationship Id="rId47" Type="http://schemas.openxmlformats.org/officeDocument/2006/relationships/image" Target="../media/image112.emf"/><Relationship Id="rId50" Type="http://schemas.openxmlformats.org/officeDocument/2006/relationships/image" Target="../media/image114.png"/><Relationship Id="rId55" Type="http://schemas.openxmlformats.org/officeDocument/2006/relationships/image" Target="../media/image1.png"/><Relationship Id="rId63" Type="http://schemas.openxmlformats.org/officeDocument/2006/relationships/image" Target="../media/image117.png"/><Relationship Id="rId68" Type="http://schemas.openxmlformats.org/officeDocument/2006/relationships/image" Target="../media/image122.png"/><Relationship Id="rId76" Type="http://schemas.openxmlformats.org/officeDocument/2006/relationships/image" Target="../media/image130.png"/><Relationship Id="rId7" Type="http://schemas.openxmlformats.org/officeDocument/2006/relationships/image" Target="../media/image64.png"/><Relationship Id="rId71" Type="http://schemas.openxmlformats.org/officeDocument/2006/relationships/image" Target="../media/image125.png"/><Relationship Id="rId2" Type="http://schemas.openxmlformats.org/officeDocument/2006/relationships/image" Target="../media/image59.png"/><Relationship Id="rId16" Type="http://schemas.openxmlformats.org/officeDocument/2006/relationships/image" Target="../media/image73.png"/><Relationship Id="rId29" Type="http://schemas.openxmlformats.org/officeDocument/2006/relationships/image" Target="../media/image108.emf"/><Relationship Id="rId11" Type="http://schemas.openxmlformats.org/officeDocument/2006/relationships/image" Target="../media/image107.png"/><Relationship Id="rId24" Type="http://schemas.openxmlformats.org/officeDocument/2006/relationships/image" Target="../media/image81.emf"/><Relationship Id="rId32" Type="http://schemas.openxmlformats.org/officeDocument/2006/relationships/image" Target="../media/image111.emf"/><Relationship Id="rId37" Type="http://schemas.openxmlformats.org/officeDocument/2006/relationships/image" Target="../media/image30.png"/><Relationship Id="rId40" Type="http://schemas.openxmlformats.org/officeDocument/2006/relationships/image" Target="../media/image33.png"/><Relationship Id="rId45" Type="http://schemas.openxmlformats.org/officeDocument/2006/relationships/image" Target="../media/image84.emf"/><Relationship Id="rId53" Type="http://schemas.openxmlformats.org/officeDocument/2006/relationships/image" Target="../media/image20.png"/><Relationship Id="rId58" Type="http://schemas.openxmlformats.org/officeDocument/2006/relationships/image" Target="../media/image9.png"/><Relationship Id="rId66" Type="http://schemas.openxmlformats.org/officeDocument/2006/relationships/image" Target="../media/image120.png"/><Relationship Id="rId74" Type="http://schemas.openxmlformats.org/officeDocument/2006/relationships/image" Target="../media/image128.png"/><Relationship Id="rId5" Type="http://schemas.openxmlformats.org/officeDocument/2006/relationships/image" Target="../media/image105.png"/><Relationship Id="rId15" Type="http://schemas.openxmlformats.org/officeDocument/2006/relationships/image" Target="../media/image72.png"/><Relationship Id="rId23" Type="http://schemas.openxmlformats.org/officeDocument/2006/relationships/image" Target="../media/image80.emf"/><Relationship Id="rId28" Type="http://schemas.openxmlformats.org/officeDocument/2006/relationships/image" Target="../media/image101.emf"/><Relationship Id="rId36" Type="http://schemas.openxmlformats.org/officeDocument/2006/relationships/image" Target="../media/image29.png"/><Relationship Id="rId49" Type="http://schemas.openxmlformats.org/officeDocument/2006/relationships/image" Target="../media/image113.png"/><Relationship Id="rId57" Type="http://schemas.openxmlformats.org/officeDocument/2006/relationships/image" Target="../media/image3.png"/><Relationship Id="rId61" Type="http://schemas.openxmlformats.org/officeDocument/2006/relationships/image" Target="../media/image115.png"/><Relationship Id="rId10" Type="http://schemas.openxmlformats.org/officeDocument/2006/relationships/image" Target="../media/image67.png"/><Relationship Id="rId19" Type="http://schemas.openxmlformats.org/officeDocument/2006/relationships/image" Target="../media/image76.png"/><Relationship Id="rId31" Type="http://schemas.openxmlformats.org/officeDocument/2006/relationships/image" Target="../media/image110.emf"/><Relationship Id="rId44" Type="http://schemas.openxmlformats.org/officeDocument/2006/relationships/image" Target="../media/image46.png"/><Relationship Id="rId52" Type="http://schemas.openxmlformats.org/officeDocument/2006/relationships/image" Target="../media/image19.png"/><Relationship Id="rId60" Type="http://schemas.openxmlformats.org/officeDocument/2006/relationships/image" Target="../media/image11.png"/><Relationship Id="rId65" Type="http://schemas.openxmlformats.org/officeDocument/2006/relationships/image" Target="../media/image119.png"/><Relationship Id="rId73" Type="http://schemas.openxmlformats.org/officeDocument/2006/relationships/image" Target="../media/image127.png"/><Relationship Id="rId4" Type="http://schemas.openxmlformats.org/officeDocument/2006/relationships/image" Target="../media/image61.png"/><Relationship Id="rId9" Type="http://schemas.openxmlformats.org/officeDocument/2006/relationships/image" Target="../media/image106.png"/><Relationship Id="rId14" Type="http://schemas.openxmlformats.org/officeDocument/2006/relationships/image" Target="../media/image71.png"/><Relationship Id="rId22" Type="http://schemas.openxmlformats.org/officeDocument/2006/relationships/image" Target="../media/image79.png"/><Relationship Id="rId27" Type="http://schemas.openxmlformats.org/officeDocument/2006/relationships/image" Target="../media/image100.emf"/><Relationship Id="rId30" Type="http://schemas.openxmlformats.org/officeDocument/2006/relationships/image" Target="../media/image109.emf"/><Relationship Id="rId35" Type="http://schemas.openxmlformats.org/officeDocument/2006/relationships/image" Target="../media/image28.png"/><Relationship Id="rId43" Type="http://schemas.openxmlformats.org/officeDocument/2006/relationships/image" Target="../media/image39.png"/><Relationship Id="rId48" Type="http://schemas.openxmlformats.org/officeDocument/2006/relationships/image" Target="../media/image16.png"/><Relationship Id="rId56" Type="http://schemas.openxmlformats.org/officeDocument/2006/relationships/image" Target="../media/image2.png"/><Relationship Id="rId64" Type="http://schemas.openxmlformats.org/officeDocument/2006/relationships/image" Target="../media/image118.png"/><Relationship Id="rId69" Type="http://schemas.openxmlformats.org/officeDocument/2006/relationships/image" Target="../media/image123.png"/><Relationship Id="rId77" Type="http://schemas.openxmlformats.org/officeDocument/2006/relationships/image" Target="../media/image131.emf"/><Relationship Id="rId8" Type="http://schemas.openxmlformats.org/officeDocument/2006/relationships/image" Target="../media/image65.png"/><Relationship Id="rId51" Type="http://schemas.openxmlformats.org/officeDocument/2006/relationships/image" Target="../media/image18.png"/><Relationship Id="rId72" Type="http://schemas.openxmlformats.org/officeDocument/2006/relationships/image" Target="../media/image126.png"/><Relationship Id="rId3" Type="http://schemas.openxmlformats.org/officeDocument/2006/relationships/image" Target="../media/image60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25" Type="http://schemas.openxmlformats.org/officeDocument/2006/relationships/image" Target="../media/image82.emf"/><Relationship Id="rId33" Type="http://schemas.openxmlformats.org/officeDocument/2006/relationships/image" Target="../media/image26.png"/><Relationship Id="rId38" Type="http://schemas.openxmlformats.org/officeDocument/2006/relationships/image" Target="../media/image31.png"/><Relationship Id="rId46" Type="http://schemas.openxmlformats.org/officeDocument/2006/relationships/image" Target="../media/image86.emf"/><Relationship Id="rId59" Type="http://schemas.openxmlformats.org/officeDocument/2006/relationships/image" Target="../media/image10.png"/><Relationship Id="rId67" Type="http://schemas.openxmlformats.org/officeDocument/2006/relationships/image" Target="../media/image121.png"/><Relationship Id="rId20" Type="http://schemas.openxmlformats.org/officeDocument/2006/relationships/image" Target="../media/image77.png"/><Relationship Id="rId41" Type="http://schemas.openxmlformats.org/officeDocument/2006/relationships/image" Target="../media/image34.png"/><Relationship Id="rId54" Type="http://schemas.openxmlformats.org/officeDocument/2006/relationships/image" Target="../media/image21.png"/><Relationship Id="rId62" Type="http://schemas.openxmlformats.org/officeDocument/2006/relationships/image" Target="../media/image116.png"/><Relationship Id="rId70" Type="http://schemas.openxmlformats.org/officeDocument/2006/relationships/image" Target="../media/image124.png"/><Relationship Id="rId75" Type="http://schemas.openxmlformats.org/officeDocument/2006/relationships/image" Target="../media/image129.png"/><Relationship Id="rId1" Type="http://schemas.openxmlformats.org/officeDocument/2006/relationships/image" Target="../media/image104.png"/><Relationship Id="rId6" Type="http://schemas.openxmlformats.org/officeDocument/2006/relationships/image" Target="../media/image63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26" Type="http://schemas.openxmlformats.org/officeDocument/2006/relationships/image" Target="../media/image83.emf"/><Relationship Id="rId39" Type="http://schemas.openxmlformats.org/officeDocument/2006/relationships/image" Target="../media/image32.png"/><Relationship Id="rId21" Type="http://schemas.openxmlformats.org/officeDocument/2006/relationships/image" Target="../media/image78.png"/><Relationship Id="rId34" Type="http://schemas.openxmlformats.org/officeDocument/2006/relationships/image" Target="../media/image27.png"/><Relationship Id="rId42" Type="http://schemas.openxmlformats.org/officeDocument/2006/relationships/image" Target="../media/image38.png"/><Relationship Id="rId47" Type="http://schemas.openxmlformats.org/officeDocument/2006/relationships/image" Target="../media/image112.emf"/><Relationship Id="rId50" Type="http://schemas.openxmlformats.org/officeDocument/2006/relationships/image" Target="../media/image16.png"/><Relationship Id="rId55" Type="http://schemas.openxmlformats.org/officeDocument/2006/relationships/image" Target="../media/image20.png"/><Relationship Id="rId63" Type="http://schemas.openxmlformats.org/officeDocument/2006/relationships/image" Target="../media/image115.png"/><Relationship Id="rId68" Type="http://schemas.openxmlformats.org/officeDocument/2006/relationships/image" Target="../media/image120.png"/><Relationship Id="rId76" Type="http://schemas.openxmlformats.org/officeDocument/2006/relationships/image" Target="../media/image128.png"/><Relationship Id="rId7" Type="http://schemas.openxmlformats.org/officeDocument/2006/relationships/image" Target="../media/image64.png"/><Relationship Id="rId71" Type="http://schemas.openxmlformats.org/officeDocument/2006/relationships/image" Target="../media/image123.png"/><Relationship Id="rId2" Type="http://schemas.openxmlformats.org/officeDocument/2006/relationships/image" Target="../media/image59.png"/><Relationship Id="rId16" Type="http://schemas.openxmlformats.org/officeDocument/2006/relationships/image" Target="../media/image73.png"/><Relationship Id="rId29" Type="http://schemas.openxmlformats.org/officeDocument/2006/relationships/image" Target="../media/image108.emf"/><Relationship Id="rId11" Type="http://schemas.openxmlformats.org/officeDocument/2006/relationships/image" Target="../media/image107.png"/><Relationship Id="rId24" Type="http://schemas.openxmlformats.org/officeDocument/2006/relationships/image" Target="../media/image81.emf"/><Relationship Id="rId32" Type="http://schemas.openxmlformats.org/officeDocument/2006/relationships/image" Target="../media/image111.emf"/><Relationship Id="rId37" Type="http://schemas.openxmlformats.org/officeDocument/2006/relationships/image" Target="../media/image30.png"/><Relationship Id="rId40" Type="http://schemas.openxmlformats.org/officeDocument/2006/relationships/image" Target="../media/image33.png"/><Relationship Id="rId45" Type="http://schemas.openxmlformats.org/officeDocument/2006/relationships/image" Target="../media/image84.emf"/><Relationship Id="rId53" Type="http://schemas.openxmlformats.org/officeDocument/2006/relationships/image" Target="../media/image18.png"/><Relationship Id="rId58" Type="http://schemas.openxmlformats.org/officeDocument/2006/relationships/image" Target="../media/image2.png"/><Relationship Id="rId66" Type="http://schemas.openxmlformats.org/officeDocument/2006/relationships/image" Target="../media/image118.png"/><Relationship Id="rId74" Type="http://schemas.openxmlformats.org/officeDocument/2006/relationships/image" Target="../media/image126.png"/><Relationship Id="rId5" Type="http://schemas.openxmlformats.org/officeDocument/2006/relationships/image" Target="../media/image105.png"/><Relationship Id="rId15" Type="http://schemas.openxmlformats.org/officeDocument/2006/relationships/image" Target="../media/image72.png"/><Relationship Id="rId23" Type="http://schemas.openxmlformats.org/officeDocument/2006/relationships/image" Target="../media/image80.emf"/><Relationship Id="rId28" Type="http://schemas.openxmlformats.org/officeDocument/2006/relationships/image" Target="../media/image101.emf"/><Relationship Id="rId36" Type="http://schemas.openxmlformats.org/officeDocument/2006/relationships/image" Target="../media/image29.png"/><Relationship Id="rId49" Type="http://schemas.openxmlformats.org/officeDocument/2006/relationships/image" Target="../media/image133.emf"/><Relationship Id="rId57" Type="http://schemas.openxmlformats.org/officeDocument/2006/relationships/image" Target="../media/image1.png"/><Relationship Id="rId61" Type="http://schemas.openxmlformats.org/officeDocument/2006/relationships/image" Target="../media/image10.png"/><Relationship Id="rId10" Type="http://schemas.openxmlformats.org/officeDocument/2006/relationships/image" Target="../media/image67.png"/><Relationship Id="rId19" Type="http://schemas.openxmlformats.org/officeDocument/2006/relationships/image" Target="../media/image76.png"/><Relationship Id="rId31" Type="http://schemas.openxmlformats.org/officeDocument/2006/relationships/image" Target="../media/image110.emf"/><Relationship Id="rId44" Type="http://schemas.openxmlformats.org/officeDocument/2006/relationships/image" Target="../media/image46.png"/><Relationship Id="rId52" Type="http://schemas.openxmlformats.org/officeDocument/2006/relationships/image" Target="../media/image114.png"/><Relationship Id="rId60" Type="http://schemas.openxmlformats.org/officeDocument/2006/relationships/image" Target="../media/image9.png"/><Relationship Id="rId65" Type="http://schemas.openxmlformats.org/officeDocument/2006/relationships/image" Target="../media/image117.png"/><Relationship Id="rId73" Type="http://schemas.openxmlformats.org/officeDocument/2006/relationships/image" Target="../media/image125.png"/><Relationship Id="rId78" Type="http://schemas.openxmlformats.org/officeDocument/2006/relationships/image" Target="../media/image130.png"/><Relationship Id="rId4" Type="http://schemas.openxmlformats.org/officeDocument/2006/relationships/image" Target="../media/image61.png"/><Relationship Id="rId9" Type="http://schemas.openxmlformats.org/officeDocument/2006/relationships/image" Target="../media/image106.png"/><Relationship Id="rId14" Type="http://schemas.openxmlformats.org/officeDocument/2006/relationships/image" Target="../media/image71.png"/><Relationship Id="rId22" Type="http://schemas.openxmlformats.org/officeDocument/2006/relationships/image" Target="../media/image79.png"/><Relationship Id="rId27" Type="http://schemas.openxmlformats.org/officeDocument/2006/relationships/image" Target="../media/image100.emf"/><Relationship Id="rId30" Type="http://schemas.openxmlformats.org/officeDocument/2006/relationships/image" Target="../media/image109.emf"/><Relationship Id="rId35" Type="http://schemas.openxmlformats.org/officeDocument/2006/relationships/image" Target="../media/image28.png"/><Relationship Id="rId43" Type="http://schemas.openxmlformats.org/officeDocument/2006/relationships/image" Target="../media/image39.png"/><Relationship Id="rId48" Type="http://schemas.openxmlformats.org/officeDocument/2006/relationships/image" Target="../media/image132.emf"/><Relationship Id="rId56" Type="http://schemas.openxmlformats.org/officeDocument/2006/relationships/image" Target="../media/image21.png"/><Relationship Id="rId64" Type="http://schemas.openxmlformats.org/officeDocument/2006/relationships/image" Target="../media/image116.png"/><Relationship Id="rId69" Type="http://schemas.openxmlformats.org/officeDocument/2006/relationships/image" Target="../media/image121.png"/><Relationship Id="rId77" Type="http://schemas.openxmlformats.org/officeDocument/2006/relationships/image" Target="../media/image129.png"/><Relationship Id="rId8" Type="http://schemas.openxmlformats.org/officeDocument/2006/relationships/image" Target="../media/image65.png"/><Relationship Id="rId51" Type="http://schemas.openxmlformats.org/officeDocument/2006/relationships/image" Target="../media/image113.png"/><Relationship Id="rId72" Type="http://schemas.openxmlformats.org/officeDocument/2006/relationships/image" Target="../media/image124.png"/><Relationship Id="rId3" Type="http://schemas.openxmlformats.org/officeDocument/2006/relationships/image" Target="../media/image60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25" Type="http://schemas.openxmlformats.org/officeDocument/2006/relationships/image" Target="../media/image82.emf"/><Relationship Id="rId33" Type="http://schemas.openxmlformats.org/officeDocument/2006/relationships/image" Target="../media/image26.png"/><Relationship Id="rId38" Type="http://schemas.openxmlformats.org/officeDocument/2006/relationships/image" Target="../media/image31.png"/><Relationship Id="rId46" Type="http://schemas.openxmlformats.org/officeDocument/2006/relationships/image" Target="../media/image86.emf"/><Relationship Id="rId59" Type="http://schemas.openxmlformats.org/officeDocument/2006/relationships/image" Target="../media/image3.png"/><Relationship Id="rId67" Type="http://schemas.openxmlformats.org/officeDocument/2006/relationships/image" Target="../media/image119.png"/><Relationship Id="rId20" Type="http://schemas.openxmlformats.org/officeDocument/2006/relationships/image" Target="../media/image77.png"/><Relationship Id="rId41" Type="http://schemas.openxmlformats.org/officeDocument/2006/relationships/image" Target="../media/image34.png"/><Relationship Id="rId54" Type="http://schemas.openxmlformats.org/officeDocument/2006/relationships/image" Target="../media/image19.png"/><Relationship Id="rId62" Type="http://schemas.openxmlformats.org/officeDocument/2006/relationships/image" Target="../media/image11.png"/><Relationship Id="rId70" Type="http://schemas.openxmlformats.org/officeDocument/2006/relationships/image" Target="../media/image122.png"/><Relationship Id="rId75" Type="http://schemas.openxmlformats.org/officeDocument/2006/relationships/image" Target="../media/image127.png"/><Relationship Id="rId1" Type="http://schemas.openxmlformats.org/officeDocument/2006/relationships/image" Target="../media/image104.png"/><Relationship Id="rId6" Type="http://schemas.openxmlformats.org/officeDocument/2006/relationships/image" Target="../media/image63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26" Type="http://schemas.openxmlformats.org/officeDocument/2006/relationships/image" Target="../media/image83.emf"/><Relationship Id="rId39" Type="http://schemas.openxmlformats.org/officeDocument/2006/relationships/image" Target="../media/image33.png"/><Relationship Id="rId21" Type="http://schemas.openxmlformats.org/officeDocument/2006/relationships/image" Target="../media/image78.png"/><Relationship Id="rId34" Type="http://schemas.openxmlformats.org/officeDocument/2006/relationships/image" Target="../media/image28.png"/><Relationship Id="rId42" Type="http://schemas.openxmlformats.org/officeDocument/2006/relationships/image" Target="../media/image39.png"/><Relationship Id="rId47" Type="http://schemas.openxmlformats.org/officeDocument/2006/relationships/image" Target="../media/image133.emf"/><Relationship Id="rId50" Type="http://schemas.openxmlformats.org/officeDocument/2006/relationships/image" Target="../media/image114.png"/><Relationship Id="rId55" Type="http://schemas.openxmlformats.org/officeDocument/2006/relationships/image" Target="../media/image1.png"/><Relationship Id="rId63" Type="http://schemas.openxmlformats.org/officeDocument/2006/relationships/image" Target="../media/image117.png"/><Relationship Id="rId68" Type="http://schemas.openxmlformats.org/officeDocument/2006/relationships/image" Target="../media/image122.png"/><Relationship Id="rId76" Type="http://schemas.openxmlformats.org/officeDocument/2006/relationships/image" Target="../media/image130.png"/><Relationship Id="rId7" Type="http://schemas.openxmlformats.org/officeDocument/2006/relationships/image" Target="../media/image64.png"/><Relationship Id="rId71" Type="http://schemas.openxmlformats.org/officeDocument/2006/relationships/image" Target="../media/image125.png"/><Relationship Id="rId2" Type="http://schemas.openxmlformats.org/officeDocument/2006/relationships/image" Target="../media/image59.png"/><Relationship Id="rId16" Type="http://schemas.openxmlformats.org/officeDocument/2006/relationships/image" Target="../media/image73.png"/><Relationship Id="rId29" Type="http://schemas.openxmlformats.org/officeDocument/2006/relationships/image" Target="../media/image108.emf"/><Relationship Id="rId11" Type="http://schemas.openxmlformats.org/officeDocument/2006/relationships/image" Target="../media/image107.png"/><Relationship Id="rId24" Type="http://schemas.openxmlformats.org/officeDocument/2006/relationships/image" Target="../media/image81.emf"/><Relationship Id="rId32" Type="http://schemas.openxmlformats.org/officeDocument/2006/relationships/image" Target="../media/image26.png"/><Relationship Id="rId37" Type="http://schemas.openxmlformats.org/officeDocument/2006/relationships/image" Target="../media/image31.png"/><Relationship Id="rId40" Type="http://schemas.openxmlformats.org/officeDocument/2006/relationships/image" Target="../media/image34.png"/><Relationship Id="rId45" Type="http://schemas.openxmlformats.org/officeDocument/2006/relationships/image" Target="../media/image86.emf"/><Relationship Id="rId53" Type="http://schemas.openxmlformats.org/officeDocument/2006/relationships/image" Target="../media/image20.png"/><Relationship Id="rId58" Type="http://schemas.openxmlformats.org/officeDocument/2006/relationships/image" Target="../media/image9.png"/><Relationship Id="rId66" Type="http://schemas.openxmlformats.org/officeDocument/2006/relationships/image" Target="../media/image120.png"/><Relationship Id="rId74" Type="http://schemas.openxmlformats.org/officeDocument/2006/relationships/image" Target="../media/image128.png"/><Relationship Id="rId5" Type="http://schemas.openxmlformats.org/officeDocument/2006/relationships/image" Target="../media/image105.png"/><Relationship Id="rId15" Type="http://schemas.openxmlformats.org/officeDocument/2006/relationships/image" Target="../media/image72.png"/><Relationship Id="rId23" Type="http://schemas.openxmlformats.org/officeDocument/2006/relationships/image" Target="../media/image80.emf"/><Relationship Id="rId28" Type="http://schemas.openxmlformats.org/officeDocument/2006/relationships/image" Target="../media/image101.emf"/><Relationship Id="rId36" Type="http://schemas.openxmlformats.org/officeDocument/2006/relationships/image" Target="../media/image30.png"/><Relationship Id="rId49" Type="http://schemas.openxmlformats.org/officeDocument/2006/relationships/image" Target="../media/image113.png"/><Relationship Id="rId57" Type="http://schemas.openxmlformats.org/officeDocument/2006/relationships/image" Target="../media/image3.png"/><Relationship Id="rId61" Type="http://schemas.openxmlformats.org/officeDocument/2006/relationships/image" Target="../media/image115.png"/><Relationship Id="rId10" Type="http://schemas.openxmlformats.org/officeDocument/2006/relationships/image" Target="../media/image67.png"/><Relationship Id="rId19" Type="http://schemas.openxmlformats.org/officeDocument/2006/relationships/image" Target="../media/image76.png"/><Relationship Id="rId31" Type="http://schemas.openxmlformats.org/officeDocument/2006/relationships/image" Target="../media/image110.emf"/><Relationship Id="rId44" Type="http://schemas.openxmlformats.org/officeDocument/2006/relationships/image" Target="../media/image84.emf"/><Relationship Id="rId52" Type="http://schemas.openxmlformats.org/officeDocument/2006/relationships/image" Target="../media/image19.png"/><Relationship Id="rId60" Type="http://schemas.openxmlformats.org/officeDocument/2006/relationships/image" Target="../media/image11.png"/><Relationship Id="rId65" Type="http://schemas.openxmlformats.org/officeDocument/2006/relationships/image" Target="../media/image119.png"/><Relationship Id="rId73" Type="http://schemas.openxmlformats.org/officeDocument/2006/relationships/image" Target="../media/image127.png"/><Relationship Id="rId4" Type="http://schemas.openxmlformats.org/officeDocument/2006/relationships/image" Target="../media/image61.png"/><Relationship Id="rId9" Type="http://schemas.openxmlformats.org/officeDocument/2006/relationships/image" Target="../media/image106.png"/><Relationship Id="rId14" Type="http://schemas.openxmlformats.org/officeDocument/2006/relationships/image" Target="../media/image71.png"/><Relationship Id="rId22" Type="http://schemas.openxmlformats.org/officeDocument/2006/relationships/image" Target="../media/image79.png"/><Relationship Id="rId27" Type="http://schemas.openxmlformats.org/officeDocument/2006/relationships/image" Target="../media/image100.emf"/><Relationship Id="rId30" Type="http://schemas.openxmlformats.org/officeDocument/2006/relationships/image" Target="../media/image109.emf"/><Relationship Id="rId35" Type="http://schemas.openxmlformats.org/officeDocument/2006/relationships/image" Target="../media/image29.png"/><Relationship Id="rId43" Type="http://schemas.openxmlformats.org/officeDocument/2006/relationships/image" Target="../media/image46.png"/><Relationship Id="rId48" Type="http://schemas.openxmlformats.org/officeDocument/2006/relationships/image" Target="../media/image16.png"/><Relationship Id="rId56" Type="http://schemas.openxmlformats.org/officeDocument/2006/relationships/image" Target="../media/image2.png"/><Relationship Id="rId64" Type="http://schemas.openxmlformats.org/officeDocument/2006/relationships/image" Target="../media/image118.png"/><Relationship Id="rId69" Type="http://schemas.openxmlformats.org/officeDocument/2006/relationships/image" Target="../media/image123.png"/><Relationship Id="rId77" Type="http://schemas.openxmlformats.org/officeDocument/2006/relationships/image" Target="../media/image111.emf"/><Relationship Id="rId8" Type="http://schemas.openxmlformats.org/officeDocument/2006/relationships/image" Target="../media/image65.png"/><Relationship Id="rId51" Type="http://schemas.openxmlformats.org/officeDocument/2006/relationships/image" Target="../media/image18.png"/><Relationship Id="rId72" Type="http://schemas.openxmlformats.org/officeDocument/2006/relationships/image" Target="../media/image126.png"/><Relationship Id="rId3" Type="http://schemas.openxmlformats.org/officeDocument/2006/relationships/image" Target="../media/image60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25" Type="http://schemas.openxmlformats.org/officeDocument/2006/relationships/image" Target="../media/image82.emf"/><Relationship Id="rId33" Type="http://schemas.openxmlformats.org/officeDocument/2006/relationships/image" Target="../media/image27.png"/><Relationship Id="rId38" Type="http://schemas.openxmlformats.org/officeDocument/2006/relationships/image" Target="../media/image32.png"/><Relationship Id="rId46" Type="http://schemas.openxmlformats.org/officeDocument/2006/relationships/image" Target="../media/image112.emf"/><Relationship Id="rId59" Type="http://schemas.openxmlformats.org/officeDocument/2006/relationships/image" Target="../media/image10.png"/><Relationship Id="rId67" Type="http://schemas.openxmlformats.org/officeDocument/2006/relationships/image" Target="../media/image121.png"/><Relationship Id="rId20" Type="http://schemas.openxmlformats.org/officeDocument/2006/relationships/image" Target="../media/image77.png"/><Relationship Id="rId41" Type="http://schemas.openxmlformats.org/officeDocument/2006/relationships/image" Target="../media/image38.png"/><Relationship Id="rId54" Type="http://schemas.openxmlformats.org/officeDocument/2006/relationships/image" Target="../media/image21.png"/><Relationship Id="rId62" Type="http://schemas.openxmlformats.org/officeDocument/2006/relationships/image" Target="../media/image116.png"/><Relationship Id="rId70" Type="http://schemas.openxmlformats.org/officeDocument/2006/relationships/image" Target="../media/image124.png"/><Relationship Id="rId75" Type="http://schemas.openxmlformats.org/officeDocument/2006/relationships/image" Target="../media/image129.png"/><Relationship Id="rId1" Type="http://schemas.openxmlformats.org/officeDocument/2006/relationships/image" Target="../media/image104.png"/><Relationship Id="rId6" Type="http://schemas.openxmlformats.org/officeDocument/2006/relationships/image" Target="../media/image6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431131</xdr:colOff>
      <xdr:row>65</xdr:row>
      <xdr:rowOff>50132</xdr:rowOff>
    </xdr:from>
    <xdr:to>
      <xdr:col>3</xdr:col>
      <xdr:colOff>772026</xdr:colOff>
      <xdr:row>65</xdr:row>
      <xdr:rowOff>401357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131" y="29539532"/>
          <a:ext cx="340895" cy="351225"/>
        </a:xfrm>
        <a:prstGeom prst="rect">
          <a:avLst/>
        </a:prstGeom>
      </xdr:spPr>
    </xdr:pic>
    <xdr:clientData/>
  </xdr:twoCellAnchor>
  <xdr:twoCellAnchor editAs="oneCell">
    <xdr:from>
      <xdr:col>3</xdr:col>
      <xdr:colOff>431132</xdr:colOff>
      <xdr:row>66</xdr:row>
      <xdr:rowOff>70184</xdr:rowOff>
    </xdr:from>
    <xdr:to>
      <xdr:col>3</xdr:col>
      <xdr:colOff>772027</xdr:colOff>
      <xdr:row>66</xdr:row>
      <xdr:rowOff>391330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2132" y="30016784"/>
          <a:ext cx="340895" cy="32114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67</xdr:row>
      <xdr:rowOff>60158</xdr:rowOff>
    </xdr:from>
    <xdr:to>
      <xdr:col>3</xdr:col>
      <xdr:colOff>812132</xdr:colOff>
      <xdr:row>67</xdr:row>
      <xdr:rowOff>397764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30463958"/>
          <a:ext cx="431132" cy="337606"/>
        </a:xfrm>
        <a:prstGeom prst="rect">
          <a:avLst/>
        </a:prstGeom>
      </xdr:spPr>
    </xdr:pic>
    <xdr:clientData/>
  </xdr:twoCellAnchor>
  <xdr:twoCellAnchor editAs="oneCell">
    <xdr:from>
      <xdr:col>3</xdr:col>
      <xdr:colOff>411079</xdr:colOff>
      <xdr:row>69</xdr:row>
      <xdr:rowOff>80210</xdr:rowOff>
    </xdr:from>
    <xdr:to>
      <xdr:col>3</xdr:col>
      <xdr:colOff>782053</xdr:colOff>
      <xdr:row>69</xdr:row>
      <xdr:rowOff>417816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2079" y="31398410"/>
          <a:ext cx="370974" cy="337606"/>
        </a:xfrm>
        <a:prstGeom prst="rect">
          <a:avLst/>
        </a:prstGeom>
      </xdr:spPr>
    </xdr:pic>
    <xdr:clientData/>
  </xdr:twoCellAnchor>
  <xdr:twoCellAnchor editAs="oneCell">
    <xdr:from>
      <xdr:col>3</xdr:col>
      <xdr:colOff>360947</xdr:colOff>
      <xdr:row>68</xdr:row>
      <xdr:rowOff>60159</xdr:rowOff>
    </xdr:from>
    <xdr:to>
      <xdr:col>3</xdr:col>
      <xdr:colOff>812131</xdr:colOff>
      <xdr:row>68</xdr:row>
      <xdr:rowOff>418241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1947" y="30921159"/>
          <a:ext cx="451184" cy="358082"/>
        </a:xfrm>
        <a:prstGeom prst="rect">
          <a:avLst/>
        </a:prstGeom>
      </xdr:spPr>
    </xdr:pic>
    <xdr:clientData/>
  </xdr:twoCellAnchor>
  <xdr:twoCellAnchor editAs="oneCell">
    <xdr:from>
      <xdr:col>3</xdr:col>
      <xdr:colOff>370974</xdr:colOff>
      <xdr:row>71</xdr:row>
      <xdr:rowOff>70185</xdr:rowOff>
    </xdr:from>
    <xdr:to>
      <xdr:col>3</xdr:col>
      <xdr:colOff>809398</xdr:colOff>
      <xdr:row>71</xdr:row>
      <xdr:rowOff>441159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1974" y="32302785"/>
          <a:ext cx="438424" cy="370974"/>
        </a:xfrm>
        <a:prstGeom prst="rect">
          <a:avLst/>
        </a:prstGeom>
      </xdr:spPr>
    </xdr:pic>
    <xdr:clientData/>
  </xdr:twoCellAnchor>
  <xdr:twoCellAnchor editAs="oneCell">
    <xdr:from>
      <xdr:col>3</xdr:col>
      <xdr:colOff>391027</xdr:colOff>
      <xdr:row>72</xdr:row>
      <xdr:rowOff>50131</xdr:rowOff>
    </xdr:from>
    <xdr:to>
      <xdr:col>3</xdr:col>
      <xdr:colOff>828022</xdr:colOff>
      <xdr:row>72</xdr:row>
      <xdr:rowOff>421105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82027" y="32739931"/>
          <a:ext cx="436995" cy="370974"/>
        </a:xfrm>
        <a:prstGeom prst="rect">
          <a:avLst/>
        </a:prstGeom>
      </xdr:spPr>
    </xdr:pic>
    <xdr:clientData/>
  </xdr:twoCellAnchor>
  <xdr:twoCellAnchor editAs="oneCell">
    <xdr:from>
      <xdr:col>3</xdr:col>
      <xdr:colOff>370973</xdr:colOff>
      <xdr:row>73</xdr:row>
      <xdr:rowOff>60157</xdr:rowOff>
    </xdr:from>
    <xdr:to>
      <xdr:col>3</xdr:col>
      <xdr:colOff>812131</xdr:colOff>
      <xdr:row>73</xdr:row>
      <xdr:rowOff>432384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61973" y="33207157"/>
          <a:ext cx="441158" cy="372227"/>
        </a:xfrm>
        <a:prstGeom prst="rect">
          <a:avLst/>
        </a:prstGeom>
      </xdr:spPr>
    </xdr:pic>
    <xdr:clientData/>
  </xdr:twoCellAnchor>
  <xdr:twoCellAnchor editAs="oneCell">
    <xdr:from>
      <xdr:col>3</xdr:col>
      <xdr:colOff>431132</xdr:colOff>
      <xdr:row>74</xdr:row>
      <xdr:rowOff>140368</xdr:rowOff>
    </xdr:from>
    <xdr:to>
      <xdr:col>3</xdr:col>
      <xdr:colOff>865605</xdr:colOff>
      <xdr:row>74</xdr:row>
      <xdr:rowOff>370973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22132" y="33744568"/>
          <a:ext cx="434473" cy="230605"/>
        </a:xfrm>
        <a:prstGeom prst="rect">
          <a:avLst/>
        </a:prstGeom>
      </xdr:spPr>
    </xdr:pic>
    <xdr:clientData/>
  </xdr:twoCellAnchor>
  <xdr:twoCellAnchor editAs="oneCell">
    <xdr:from>
      <xdr:col>3</xdr:col>
      <xdr:colOff>370975</xdr:colOff>
      <xdr:row>75</xdr:row>
      <xdr:rowOff>60843</xdr:rowOff>
    </xdr:from>
    <xdr:to>
      <xdr:col>3</xdr:col>
      <xdr:colOff>741949</xdr:colOff>
      <xdr:row>75</xdr:row>
      <xdr:rowOff>421440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61975" y="34122243"/>
          <a:ext cx="370974" cy="360597"/>
        </a:xfrm>
        <a:prstGeom prst="rect">
          <a:avLst/>
        </a:prstGeom>
      </xdr:spPr>
    </xdr:pic>
    <xdr:clientData/>
  </xdr:twoCellAnchor>
  <xdr:twoCellAnchor editAs="oneCell">
    <xdr:from>
      <xdr:col>3</xdr:col>
      <xdr:colOff>360948</xdr:colOff>
      <xdr:row>76</xdr:row>
      <xdr:rowOff>197989</xdr:rowOff>
    </xdr:from>
    <xdr:to>
      <xdr:col>3</xdr:col>
      <xdr:colOff>878154</xdr:colOff>
      <xdr:row>76</xdr:row>
      <xdr:rowOff>299006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4551948" y="34716589"/>
          <a:ext cx="517206" cy="101017"/>
        </a:xfrm>
        <a:prstGeom prst="rect">
          <a:avLst/>
        </a:prstGeom>
      </xdr:spPr>
    </xdr:pic>
    <xdr:clientData/>
  </xdr:twoCellAnchor>
  <xdr:twoCellAnchor editAs="oneCell">
    <xdr:from>
      <xdr:col>3</xdr:col>
      <xdr:colOff>411080</xdr:colOff>
      <xdr:row>77</xdr:row>
      <xdr:rowOff>86629</xdr:rowOff>
    </xdr:from>
    <xdr:to>
      <xdr:col>3</xdr:col>
      <xdr:colOff>671764</xdr:colOff>
      <xdr:row>77</xdr:row>
      <xdr:rowOff>371906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602080" y="35062429"/>
          <a:ext cx="260684" cy="285277"/>
        </a:xfrm>
        <a:prstGeom prst="rect">
          <a:avLst/>
        </a:prstGeom>
      </xdr:spPr>
    </xdr:pic>
    <xdr:clientData/>
  </xdr:twoCellAnchor>
  <xdr:twoCellAnchor editAs="oneCell">
    <xdr:from>
      <xdr:col>3</xdr:col>
      <xdr:colOff>411080</xdr:colOff>
      <xdr:row>78</xdr:row>
      <xdr:rowOff>135592</xdr:rowOff>
    </xdr:from>
    <xdr:to>
      <xdr:col>3</xdr:col>
      <xdr:colOff>731922</xdr:colOff>
      <xdr:row>78</xdr:row>
      <xdr:rowOff>381432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02080" y="35568592"/>
          <a:ext cx="320842" cy="245840"/>
        </a:xfrm>
        <a:prstGeom prst="rect">
          <a:avLst/>
        </a:prstGeom>
      </xdr:spPr>
    </xdr:pic>
    <xdr:clientData/>
  </xdr:twoCellAnchor>
  <xdr:twoCellAnchor editAs="oneCell">
    <xdr:from>
      <xdr:col>3</xdr:col>
      <xdr:colOff>320842</xdr:colOff>
      <xdr:row>79</xdr:row>
      <xdr:rowOff>90235</xdr:rowOff>
    </xdr:from>
    <xdr:to>
      <xdr:col>3</xdr:col>
      <xdr:colOff>743383</xdr:colOff>
      <xdr:row>79</xdr:row>
      <xdr:rowOff>370398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11842" y="35980435"/>
          <a:ext cx="422541" cy="280163"/>
        </a:xfrm>
        <a:prstGeom prst="rect">
          <a:avLst/>
        </a:prstGeom>
      </xdr:spPr>
    </xdr:pic>
    <xdr:clientData/>
  </xdr:twoCellAnchor>
  <xdr:twoCellAnchor editAs="oneCell">
    <xdr:from>
      <xdr:col>3</xdr:col>
      <xdr:colOff>411079</xdr:colOff>
      <xdr:row>55</xdr:row>
      <xdr:rowOff>70184</xdr:rowOff>
    </xdr:from>
    <xdr:to>
      <xdr:col>3</xdr:col>
      <xdr:colOff>842211</xdr:colOff>
      <xdr:row>55</xdr:row>
      <xdr:rowOff>407790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2079" y="25101884"/>
          <a:ext cx="431132" cy="337606"/>
        </a:xfrm>
        <a:prstGeom prst="rect">
          <a:avLst/>
        </a:prstGeom>
      </xdr:spPr>
    </xdr:pic>
    <xdr:clientData/>
  </xdr:twoCellAnchor>
  <xdr:twoCellAnchor editAs="oneCell">
    <xdr:from>
      <xdr:col>3</xdr:col>
      <xdr:colOff>441158</xdr:colOff>
      <xdr:row>57</xdr:row>
      <xdr:rowOff>90236</xdr:rowOff>
    </xdr:from>
    <xdr:to>
      <xdr:col>3</xdr:col>
      <xdr:colOff>812132</xdr:colOff>
      <xdr:row>57</xdr:row>
      <xdr:rowOff>427842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32158" y="26036336"/>
          <a:ext cx="370974" cy="337606"/>
        </a:xfrm>
        <a:prstGeom prst="rect">
          <a:avLst/>
        </a:prstGeom>
      </xdr:spPr>
    </xdr:pic>
    <xdr:clientData/>
  </xdr:twoCellAnchor>
  <xdr:twoCellAnchor editAs="oneCell">
    <xdr:from>
      <xdr:col>3</xdr:col>
      <xdr:colOff>391026</xdr:colOff>
      <xdr:row>56</xdr:row>
      <xdr:rowOff>70186</xdr:rowOff>
    </xdr:from>
    <xdr:to>
      <xdr:col>3</xdr:col>
      <xdr:colOff>842210</xdr:colOff>
      <xdr:row>56</xdr:row>
      <xdr:rowOff>428268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2026" y="25559086"/>
          <a:ext cx="451184" cy="358082"/>
        </a:xfrm>
        <a:prstGeom prst="rect">
          <a:avLst/>
        </a:prstGeom>
      </xdr:spPr>
    </xdr:pic>
    <xdr:clientData/>
  </xdr:twoCellAnchor>
  <xdr:twoCellAnchor editAs="oneCell">
    <xdr:from>
      <xdr:col>3</xdr:col>
      <xdr:colOff>421106</xdr:colOff>
      <xdr:row>59</xdr:row>
      <xdr:rowOff>30079</xdr:rowOff>
    </xdr:from>
    <xdr:to>
      <xdr:col>3</xdr:col>
      <xdr:colOff>858101</xdr:colOff>
      <xdr:row>59</xdr:row>
      <xdr:rowOff>401053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2106" y="26890579"/>
          <a:ext cx="436995" cy="370974"/>
        </a:xfrm>
        <a:prstGeom prst="rect">
          <a:avLst/>
        </a:prstGeom>
      </xdr:spPr>
    </xdr:pic>
    <xdr:clientData/>
  </xdr:twoCellAnchor>
  <xdr:twoCellAnchor editAs="oneCell">
    <xdr:from>
      <xdr:col>3</xdr:col>
      <xdr:colOff>401052</xdr:colOff>
      <xdr:row>60</xdr:row>
      <xdr:rowOff>70183</xdr:rowOff>
    </xdr:from>
    <xdr:to>
      <xdr:col>3</xdr:col>
      <xdr:colOff>842210</xdr:colOff>
      <xdr:row>60</xdr:row>
      <xdr:rowOff>442410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92052" y="27387883"/>
          <a:ext cx="441158" cy="372227"/>
        </a:xfrm>
        <a:prstGeom prst="rect">
          <a:avLst/>
        </a:prstGeom>
      </xdr:spPr>
    </xdr:pic>
    <xdr:clientData/>
  </xdr:twoCellAnchor>
  <xdr:twoCellAnchor editAs="oneCell">
    <xdr:from>
      <xdr:col>3</xdr:col>
      <xdr:colOff>461211</xdr:colOff>
      <xdr:row>61</xdr:row>
      <xdr:rowOff>150395</xdr:rowOff>
    </xdr:from>
    <xdr:to>
      <xdr:col>3</xdr:col>
      <xdr:colOff>895684</xdr:colOff>
      <xdr:row>61</xdr:row>
      <xdr:rowOff>381000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52211" y="27925295"/>
          <a:ext cx="434473" cy="230605"/>
        </a:xfrm>
        <a:prstGeom prst="rect">
          <a:avLst/>
        </a:prstGeom>
      </xdr:spPr>
    </xdr:pic>
    <xdr:clientData/>
  </xdr:twoCellAnchor>
  <xdr:twoCellAnchor editAs="oneCell">
    <xdr:from>
      <xdr:col>3</xdr:col>
      <xdr:colOff>401054</xdr:colOff>
      <xdr:row>62</xdr:row>
      <xdr:rowOff>70869</xdr:rowOff>
    </xdr:from>
    <xdr:to>
      <xdr:col>3</xdr:col>
      <xdr:colOff>772028</xdr:colOff>
      <xdr:row>62</xdr:row>
      <xdr:rowOff>431466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92054" y="28302969"/>
          <a:ext cx="370974" cy="360597"/>
        </a:xfrm>
        <a:prstGeom prst="rect">
          <a:avLst/>
        </a:prstGeom>
      </xdr:spPr>
    </xdr:pic>
    <xdr:clientData/>
  </xdr:twoCellAnchor>
  <xdr:twoCellAnchor editAs="oneCell">
    <xdr:from>
      <xdr:col>3</xdr:col>
      <xdr:colOff>461211</xdr:colOff>
      <xdr:row>53</xdr:row>
      <xdr:rowOff>10026</xdr:rowOff>
    </xdr:from>
    <xdr:to>
      <xdr:col>3</xdr:col>
      <xdr:colOff>802106</xdr:colOff>
      <xdr:row>53</xdr:row>
      <xdr:rowOff>433755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52211" y="24127326"/>
          <a:ext cx="340895" cy="423729"/>
        </a:xfrm>
        <a:prstGeom prst="rect">
          <a:avLst/>
        </a:prstGeom>
      </xdr:spPr>
    </xdr:pic>
    <xdr:clientData/>
  </xdr:twoCellAnchor>
  <xdr:twoCellAnchor editAs="oneCell">
    <xdr:from>
      <xdr:col>3</xdr:col>
      <xdr:colOff>451184</xdr:colOff>
      <xdr:row>54</xdr:row>
      <xdr:rowOff>50132</xdr:rowOff>
    </xdr:from>
    <xdr:to>
      <xdr:col>3</xdr:col>
      <xdr:colOff>792079</xdr:colOff>
      <xdr:row>54</xdr:row>
      <xdr:rowOff>403676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42184" y="24624632"/>
          <a:ext cx="340895" cy="353544"/>
        </a:xfrm>
        <a:prstGeom prst="rect">
          <a:avLst/>
        </a:prstGeom>
      </xdr:spPr>
    </xdr:pic>
    <xdr:clientData/>
  </xdr:twoCellAnchor>
  <xdr:twoCellAnchor editAs="oneCell">
    <xdr:from>
      <xdr:col>3</xdr:col>
      <xdr:colOff>390023</xdr:colOff>
      <xdr:row>58</xdr:row>
      <xdr:rowOff>49630</xdr:rowOff>
    </xdr:from>
    <xdr:to>
      <xdr:col>3</xdr:col>
      <xdr:colOff>871286</xdr:colOff>
      <xdr:row>58</xdr:row>
      <xdr:rowOff>384283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81023" y="26452930"/>
          <a:ext cx="481263" cy="334653"/>
        </a:xfrm>
        <a:prstGeom prst="rect">
          <a:avLst/>
        </a:prstGeom>
      </xdr:spPr>
    </xdr:pic>
    <xdr:clientData/>
  </xdr:twoCellAnchor>
  <xdr:twoCellAnchor editAs="oneCell">
    <xdr:from>
      <xdr:col>3</xdr:col>
      <xdr:colOff>491289</xdr:colOff>
      <xdr:row>63</xdr:row>
      <xdr:rowOff>100263</xdr:rowOff>
    </xdr:from>
    <xdr:to>
      <xdr:col>3</xdr:col>
      <xdr:colOff>738388</xdr:colOff>
      <xdr:row>63</xdr:row>
      <xdr:rowOff>418497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682289" y="28789563"/>
          <a:ext cx="247099" cy="318234"/>
        </a:xfrm>
        <a:prstGeom prst="rect">
          <a:avLst/>
        </a:prstGeom>
      </xdr:spPr>
    </xdr:pic>
    <xdr:clientData/>
  </xdr:twoCellAnchor>
  <xdr:twoCellAnchor editAs="oneCell">
    <xdr:from>
      <xdr:col>3</xdr:col>
      <xdr:colOff>260684</xdr:colOff>
      <xdr:row>81</xdr:row>
      <xdr:rowOff>60158</xdr:rowOff>
    </xdr:from>
    <xdr:to>
      <xdr:col>3</xdr:col>
      <xdr:colOff>932447</xdr:colOff>
      <xdr:row>81</xdr:row>
      <xdr:rowOff>375751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51684" y="36874283"/>
          <a:ext cx="671763" cy="315593"/>
        </a:xfrm>
        <a:prstGeom prst="rect">
          <a:avLst/>
        </a:prstGeom>
      </xdr:spPr>
    </xdr:pic>
    <xdr:clientData/>
  </xdr:twoCellAnchor>
  <xdr:twoCellAnchor editAs="oneCell">
    <xdr:from>
      <xdr:col>3</xdr:col>
      <xdr:colOff>280737</xdr:colOff>
      <xdr:row>83</xdr:row>
      <xdr:rowOff>100263</xdr:rowOff>
    </xdr:from>
    <xdr:to>
      <xdr:col>3</xdr:col>
      <xdr:colOff>927434</xdr:colOff>
      <xdr:row>83</xdr:row>
      <xdr:rowOff>391026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71737" y="37847838"/>
          <a:ext cx="646697" cy="290763"/>
        </a:xfrm>
        <a:prstGeom prst="rect">
          <a:avLst/>
        </a:prstGeom>
      </xdr:spPr>
    </xdr:pic>
    <xdr:clientData/>
  </xdr:twoCellAnchor>
  <xdr:twoCellAnchor editAs="oneCell">
    <xdr:from>
      <xdr:col>3</xdr:col>
      <xdr:colOff>321702</xdr:colOff>
      <xdr:row>84</xdr:row>
      <xdr:rowOff>30080</xdr:rowOff>
    </xdr:from>
    <xdr:to>
      <xdr:col>3</xdr:col>
      <xdr:colOff>791481</xdr:colOff>
      <xdr:row>84</xdr:row>
      <xdr:rowOff>436062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12702" y="38244380"/>
          <a:ext cx="469779" cy="405982"/>
        </a:xfrm>
        <a:prstGeom prst="rect">
          <a:avLst/>
        </a:prstGeom>
      </xdr:spPr>
    </xdr:pic>
    <xdr:clientData/>
  </xdr:twoCellAnchor>
  <xdr:twoCellAnchor editAs="oneCell">
    <xdr:from>
      <xdr:col>3</xdr:col>
      <xdr:colOff>398775</xdr:colOff>
      <xdr:row>85</xdr:row>
      <xdr:rowOff>110289</xdr:rowOff>
    </xdr:from>
    <xdr:to>
      <xdr:col>3</xdr:col>
      <xdr:colOff>772458</xdr:colOff>
      <xdr:row>85</xdr:row>
      <xdr:rowOff>388968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89775" y="38791314"/>
          <a:ext cx="373683" cy="278679"/>
        </a:xfrm>
        <a:prstGeom prst="rect">
          <a:avLst/>
        </a:prstGeom>
      </xdr:spPr>
    </xdr:pic>
    <xdr:clientData/>
  </xdr:twoCellAnchor>
  <xdr:twoCellAnchor editAs="oneCell">
    <xdr:from>
      <xdr:col>3</xdr:col>
      <xdr:colOff>437194</xdr:colOff>
      <xdr:row>86</xdr:row>
      <xdr:rowOff>100262</xdr:rowOff>
    </xdr:from>
    <xdr:to>
      <xdr:col>3</xdr:col>
      <xdr:colOff>703302</xdr:colOff>
      <xdr:row>86</xdr:row>
      <xdr:rowOff>409523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28194" y="39248012"/>
          <a:ext cx="266108" cy="309261"/>
        </a:xfrm>
        <a:prstGeom prst="rect">
          <a:avLst/>
        </a:prstGeom>
      </xdr:spPr>
    </xdr:pic>
    <xdr:clientData/>
  </xdr:twoCellAnchor>
  <xdr:twoCellAnchor editAs="oneCell">
    <xdr:from>
      <xdr:col>3</xdr:col>
      <xdr:colOff>497557</xdr:colOff>
      <xdr:row>87</xdr:row>
      <xdr:rowOff>110290</xdr:rowOff>
    </xdr:from>
    <xdr:to>
      <xdr:col>3</xdr:col>
      <xdr:colOff>714837</xdr:colOff>
      <xdr:row>87</xdr:row>
      <xdr:rowOff>417038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688557" y="39724765"/>
          <a:ext cx="217280" cy="306748"/>
        </a:xfrm>
        <a:prstGeom prst="rect">
          <a:avLst/>
        </a:prstGeom>
      </xdr:spPr>
    </xdr:pic>
    <xdr:clientData/>
  </xdr:twoCellAnchor>
  <xdr:twoCellAnchor editAs="oneCell">
    <xdr:from>
      <xdr:col>3</xdr:col>
      <xdr:colOff>210553</xdr:colOff>
      <xdr:row>88</xdr:row>
      <xdr:rowOff>100263</xdr:rowOff>
    </xdr:from>
    <xdr:to>
      <xdr:col>3</xdr:col>
      <xdr:colOff>923728</xdr:colOff>
      <xdr:row>88</xdr:row>
      <xdr:rowOff>427542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401553" y="40181463"/>
          <a:ext cx="713175" cy="327279"/>
        </a:xfrm>
        <a:prstGeom prst="rect">
          <a:avLst/>
        </a:prstGeom>
      </xdr:spPr>
    </xdr:pic>
    <xdr:clientData/>
  </xdr:twoCellAnchor>
  <xdr:twoCellAnchor editAs="oneCell">
    <xdr:from>
      <xdr:col>3</xdr:col>
      <xdr:colOff>331703</xdr:colOff>
      <xdr:row>89</xdr:row>
      <xdr:rowOff>56920</xdr:rowOff>
    </xdr:from>
    <xdr:to>
      <xdr:col>3</xdr:col>
      <xdr:colOff>892342</xdr:colOff>
      <xdr:row>89</xdr:row>
      <xdr:rowOff>411008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522703" y="40604845"/>
          <a:ext cx="560639" cy="354088"/>
        </a:xfrm>
        <a:prstGeom prst="rect">
          <a:avLst/>
        </a:prstGeom>
      </xdr:spPr>
    </xdr:pic>
    <xdr:clientData/>
  </xdr:twoCellAnchor>
  <xdr:twoCellAnchor editAs="oneCell">
    <xdr:from>
      <xdr:col>3</xdr:col>
      <xdr:colOff>472215</xdr:colOff>
      <xdr:row>90</xdr:row>
      <xdr:rowOff>120316</xdr:rowOff>
    </xdr:from>
    <xdr:to>
      <xdr:col>3</xdr:col>
      <xdr:colOff>694280</xdr:colOff>
      <xdr:row>90</xdr:row>
      <xdr:rowOff>380450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663215" y="41134966"/>
          <a:ext cx="222065" cy="260134"/>
        </a:xfrm>
        <a:prstGeom prst="rect">
          <a:avLst/>
        </a:prstGeom>
      </xdr:spPr>
    </xdr:pic>
    <xdr:clientData/>
  </xdr:twoCellAnchor>
  <xdr:twoCellAnchor editAs="oneCell">
    <xdr:from>
      <xdr:col>3</xdr:col>
      <xdr:colOff>500826</xdr:colOff>
      <xdr:row>91</xdr:row>
      <xdr:rowOff>80210</xdr:rowOff>
    </xdr:from>
    <xdr:to>
      <xdr:col>3</xdr:col>
      <xdr:colOff>727373</xdr:colOff>
      <xdr:row>91</xdr:row>
      <xdr:rowOff>400501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91826" y="41561585"/>
          <a:ext cx="226547" cy="320291"/>
        </a:xfrm>
        <a:prstGeom prst="rect">
          <a:avLst/>
        </a:prstGeom>
      </xdr:spPr>
    </xdr:pic>
    <xdr:clientData/>
  </xdr:twoCellAnchor>
  <xdr:twoCellAnchor editAs="oneCell">
    <xdr:from>
      <xdr:col>3</xdr:col>
      <xdr:colOff>300790</xdr:colOff>
      <xdr:row>101</xdr:row>
      <xdr:rowOff>140369</xdr:rowOff>
    </xdr:from>
    <xdr:to>
      <xdr:col>3</xdr:col>
      <xdr:colOff>822158</xdr:colOff>
      <xdr:row>101</xdr:row>
      <xdr:rowOff>320037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491790" y="46288994"/>
          <a:ext cx="521368" cy="179668"/>
        </a:xfrm>
        <a:prstGeom prst="rect">
          <a:avLst/>
        </a:prstGeom>
      </xdr:spPr>
    </xdr:pic>
    <xdr:clientData/>
  </xdr:twoCellAnchor>
  <xdr:twoCellAnchor editAs="oneCell">
    <xdr:from>
      <xdr:col>3</xdr:col>
      <xdr:colOff>250659</xdr:colOff>
      <xdr:row>102</xdr:row>
      <xdr:rowOff>180474</xdr:rowOff>
    </xdr:from>
    <xdr:to>
      <xdr:col>3</xdr:col>
      <xdr:colOff>915839</xdr:colOff>
      <xdr:row>102</xdr:row>
      <xdr:rowOff>290763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41659" y="46795824"/>
          <a:ext cx="665180" cy="11028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190501</xdr:colOff>
      <xdr:row>103</xdr:row>
      <xdr:rowOff>167561</xdr:rowOff>
    </xdr:from>
    <xdr:to>
      <xdr:col>3</xdr:col>
      <xdr:colOff>962527</xdr:colOff>
      <xdr:row>103</xdr:row>
      <xdr:rowOff>333333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81501" y="47249636"/>
          <a:ext cx="772026" cy="165772"/>
        </a:xfrm>
        <a:prstGeom prst="rect">
          <a:avLst/>
        </a:prstGeom>
      </xdr:spPr>
    </xdr:pic>
    <xdr:clientData/>
  </xdr:twoCellAnchor>
  <xdr:twoCellAnchor editAs="oneCell">
    <xdr:from>
      <xdr:col>3</xdr:col>
      <xdr:colOff>210553</xdr:colOff>
      <xdr:row>104</xdr:row>
      <xdr:rowOff>169343</xdr:rowOff>
    </xdr:from>
    <xdr:to>
      <xdr:col>3</xdr:col>
      <xdr:colOff>1072816</xdr:colOff>
      <xdr:row>104</xdr:row>
      <xdr:rowOff>350872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401553" y="47718143"/>
          <a:ext cx="862263" cy="181529"/>
        </a:xfrm>
        <a:prstGeom prst="rect">
          <a:avLst/>
        </a:prstGeom>
      </xdr:spPr>
    </xdr:pic>
    <xdr:clientData/>
  </xdr:twoCellAnchor>
  <xdr:twoCellAnchor editAs="oneCell">
    <xdr:from>
      <xdr:col>3</xdr:col>
      <xdr:colOff>90237</xdr:colOff>
      <xdr:row>105</xdr:row>
      <xdr:rowOff>177421</xdr:rowOff>
    </xdr:from>
    <xdr:to>
      <xdr:col>3</xdr:col>
      <xdr:colOff>1012658</xdr:colOff>
      <xdr:row>105</xdr:row>
      <xdr:rowOff>361905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281237" y="48192946"/>
          <a:ext cx="922421" cy="184484"/>
        </a:xfrm>
        <a:prstGeom prst="rect">
          <a:avLst/>
        </a:prstGeom>
      </xdr:spPr>
    </xdr:pic>
    <xdr:clientData/>
  </xdr:twoCellAnchor>
  <xdr:twoCellAnchor editAs="oneCell">
    <xdr:from>
      <xdr:col>3</xdr:col>
      <xdr:colOff>290763</xdr:colOff>
      <xdr:row>106</xdr:row>
      <xdr:rowOff>70185</xdr:rowOff>
    </xdr:from>
    <xdr:to>
      <xdr:col>3</xdr:col>
      <xdr:colOff>912394</xdr:colOff>
      <xdr:row>106</xdr:row>
      <xdr:rowOff>391027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481763" y="48552435"/>
          <a:ext cx="621631" cy="320842"/>
        </a:xfrm>
        <a:prstGeom prst="rect">
          <a:avLst/>
        </a:prstGeom>
      </xdr:spPr>
    </xdr:pic>
    <xdr:clientData/>
  </xdr:twoCellAnchor>
  <xdr:twoCellAnchor editAs="oneCell">
    <xdr:from>
      <xdr:col>3</xdr:col>
      <xdr:colOff>370975</xdr:colOff>
      <xdr:row>107</xdr:row>
      <xdr:rowOff>50131</xdr:rowOff>
    </xdr:from>
    <xdr:to>
      <xdr:col>3</xdr:col>
      <xdr:colOff>718895</xdr:colOff>
      <xdr:row>107</xdr:row>
      <xdr:rowOff>405958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561975" y="48999106"/>
          <a:ext cx="347920" cy="355827"/>
        </a:xfrm>
        <a:prstGeom prst="rect">
          <a:avLst/>
        </a:prstGeom>
      </xdr:spPr>
    </xdr:pic>
    <xdr:clientData/>
  </xdr:twoCellAnchor>
  <xdr:twoCellAnchor editAs="oneCell">
    <xdr:from>
      <xdr:col>3</xdr:col>
      <xdr:colOff>330868</xdr:colOff>
      <xdr:row>108</xdr:row>
      <xdr:rowOff>73640</xdr:rowOff>
    </xdr:from>
    <xdr:to>
      <xdr:col>3</xdr:col>
      <xdr:colOff>828571</xdr:colOff>
      <xdr:row>108</xdr:row>
      <xdr:rowOff>365397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21868" y="49489340"/>
          <a:ext cx="497703" cy="291757"/>
        </a:xfrm>
        <a:prstGeom prst="rect">
          <a:avLst/>
        </a:prstGeom>
      </xdr:spPr>
    </xdr:pic>
    <xdr:clientData/>
  </xdr:twoCellAnchor>
  <xdr:twoCellAnchor editAs="oneCell">
    <xdr:from>
      <xdr:col>3</xdr:col>
      <xdr:colOff>260684</xdr:colOff>
      <xdr:row>109</xdr:row>
      <xdr:rowOff>90237</xdr:rowOff>
    </xdr:from>
    <xdr:to>
      <xdr:col>3</xdr:col>
      <xdr:colOff>982579</xdr:colOff>
      <xdr:row>109</xdr:row>
      <xdr:rowOff>367889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451684" y="49972662"/>
          <a:ext cx="721895" cy="277652"/>
        </a:xfrm>
        <a:prstGeom prst="rect">
          <a:avLst/>
        </a:prstGeom>
      </xdr:spPr>
    </xdr:pic>
    <xdr:clientData/>
  </xdr:twoCellAnchor>
  <xdr:twoCellAnchor editAs="oneCell">
    <xdr:from>
      <xdr:col>3</xdr:col>
      <xdr:colOff>360948</xdr:colOff>
      <xdr:row>110</xdr:row>
      <xdr:rowOff>40106</xdr:rowOff>
    </xdr:from>
    <xdr:to>
      <xdr:col>3</xdr:col>
      <xdr:colOff>822158</xdr:colOff>
      <xdr:row>110</xdr:row>
      <xdr:rowOff>388189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551948" y="50389256"/>
          <a:ext cx="461210" cy="348083"/>
        </a:xfrm>
        <a:prstGeom prst="rect">
          <a:avLst/>
        </a:prstGeom>
      </xdr:spPr>
    </xdr:pic>
    <xdr:clientData/>
  </xdr:twoCellAnchor>
  <xdr:twoCellAnchor editAs="oneCell">
    <xdr:from>
      <xdr:col>3</xdr:col>
      <xdr:colOff>471236</xdr:colOff>
      <xdr:row>111</xdr:row>
      <xdr:rowOff>110289</xdr:rowOff>
    </xdr:from>
    <xdr:to>
      <xdr:col>3</xdr:col>
      <xdr:colOff>753979</xdr:colOff>
      <xdr:row>111</xdr:row>
      <xdr:rowOff>381000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662236" y="50926164"/>
          <a:ext cx="282743" cy="270711"/>
        </a:xfrm>
        <a:prstGeom prst="rect">
          <a:avLst/>
        </a:prstGeom>
      </xdr:spPr>
    </xdr:pic>
    <xdr:clientData/>
  </xdr:twoCellAnchor>
  <xdr:twoCellAnchor editAs="oneCell">
    <xdr:from>
      <xdr:col>3</xdr:col>
      <xdr:colOff>491290</xdr:colOff>
      <xdr:row>112</xdr:row>
      <xdr:rowOff>100263</xdr:rowOff>
    </xdr:from>
    <xdr:to>
      <xdr:col>3</xdr:col>
      <xdr:colOff>740344</xdr:colOff>
      <xdr:row>112</xdr:row>
      <xdr:rowOff>370974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682290" y="51382863"/>
          <a:ext cx="249054" cy="270711"/>
        </a:xfrm>
        <a:prstGeom prst="rect">
          <a:avLst/>
        </a:prstGeom>
      </xdr:spPr>
    </xdr:pic>
    <xdr:clientData/>
  </xdr:twoCellAnchor>
  <xdr:twoCellAnchor editAs="oneCell">
    <xdr:from>
      <xdr:col>3</xdr:col>
      <xdr:colOff>170447</xdr:colOff>
      <xdr:row>113</xdr:row>
      <xdr:rowOff>80210</xdr:rowOff>
    </xdr:from>
    <xdr:to>
      <xdr:col>3</xdr:col>
      <xdr:colOff>1082842</xdr:colOff>
      <xdr:row>113</xdr:row>
      <xdr:rowOff>314073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361447" y="51829535"/>
          <a:ext cx="912395" cy="233863"/>
        </a:xfrm>
        <a:prstGeom prst="rect">
          <a:avLst/>
        </a:prstGeom>
      </xdr:spPr>
    </xdr:pic>
    <xdr:clientData/>
  </xdr:twoCellAnchor>
  <xdr:twoCellAnchor editAs="oneCell">
    <xdr:from>
      <xdr:col>3</xdr:col>
      <xdr:colOff>180473</xdr:colOff>
      <xdr:row>114</xdr:row>
      <xdr:rowOff>170449</xdr:rowOff>
    </xdr:from>
    <xdr:to>
      <xdr:col>3</xdr:col>
      <xdr:colOff>1075384</xdr:colOff>
      <xdr:row>114</xdr:row>
      <xdr:rowOff>280737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371473" y="52386499"/>
          <a:ext cx="894911" cy="110288"/>
        </a:xfrm>
        <a:prstGeom prst="rect">
          <a:avLst/>
        </a:prstGeom>
      </xdr:spPr>
    </xdr:pic>
    <xdr:clientData/>
  </xdr:twoCellAnchor>
  <xdr:twoCellAnchor editAs="oneCell">
    <xdr:from>
      <xdr:col>3</xdr:col>
      <xdr:colOff>120316</xdr:colOff>
      <xdr:row>115</xdr:row>
      <xdr:rowOff>180474</xdr:rowOff>
    </xdr:from>
    <xdr:to>
      <xdr:col>3</xdr:col>
      <xdr:colOff>1112921</xdr:colOff>
      <xdr:row>115</xdr:row>
      <xdr:rowOff>332882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311316" y="52863249"/>
          <a:ext cx="992605" cy="152408"/>
        </a:xfrm>
        <a:prstGeom prst="rect">
          <a:avLst/>
        </a:prstGeom>
      </xdr:spPr>
    </xdr:pic>
    <xdr:clientData/>
  </xdr:twoCellAnchor>
  <xdr:twoCellAnchor editAs="oneCell">
    <xdr:from>
      <xdr:col>3</xdr:col>
      <xdr:colOff>60159</xdr:colOff>
      <xdr:row>116</xdr:row>
      <xdr:rowOff>160422</xdr:rowOff>
    </xdr:from>
    <xdr:to>
      <xdr:col>3</xdr:col>
      <xdr:colOff>1082847</xdr:colOff>
      <xdr:row>116</xdr:row>
      <xdr:rowOff>330870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51159" y="53309922"/>
          <a:ext cx="1022688" cy="170448"/>
        </a:xfrm>
        <a:prstGeom prst="rect">
          <a:avLst/>
        </a:prstGeom>
      </xdr:spPr>
    </xdr:pic>
    <xdr:clientData/>
  </xdr:twoCellAnchor>
  <xdr:twoCellAnchor editAs="oneCell">
    <xdr:from>
      <xdr:col>3</xdr:col>
      <xdr:colOff>60158</xdr:colOff>
      <xdr:row>117</xdr:row>
      <xdr:rowOff>180475</xdr:rowOff>
    </xdr:from>
    <xdr:to>
      <xdr:col>3</xdr:col>
      <xdr:colOff>1109163</xdr:colOff>
      <xdr:row>117</xdr:row>
      <xdr:rowOff>360949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51158" y="53796700"/>
          <a:ext cx="1049005" cy="180474"/>
        </a:xfrm>
        <a:prstGeom prst="rect">
          <a:avLst/>
        </a:prstGeom>
      </xdr:spPr>
    </xdr:pic>
    <xdr:clientData/>
  </xdr:twoCellAnchor>
  <xdr:twoCellAnchor editAs="oneCell">
    <xdr:from>
      <xdr:col>3</xdr:col>
      <xdr:colOff>40105</xdr:colOff>
      <xdr:row>118</xdr:row>
      <xdr:rowOff>200528</xdr:rowOff>
    </xdr:from>
    <xdr:to>
      <xdr:col>3</xdr:col>
      <xdr:colOff>1143000</xdr:colOff>
      <xdr:row>118</xdr:row>
      <xdr:rowOff>346268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31105" y="54283478"/>
          <a:ext cx="1102895" cy="145740"/>
        </a:xfrm>
        <a:prstGeom prst="rect">
          <a:avLst/>
        </a:prstGeom>
      </xdr:spPr>
    </xdr:pic>
    <xdr:clientData/>
  </xdr:twoCellAnchor>
  <xdr:twoCellAnchor editAs="oneCell">
    <xdr:from>
      <xdr:col>3</xdr:col>
      <xdr:colOff>30080</xdr:colOff>
      <xdr:row>119</xdr:row>
      <xdr:rowOff>160421</xdr:rowOff>
    </xdr:from>
    <xdr:to>
      <xdr:col>3</xdr:col>
      <xdr:colOff>1106994</xdr:colOff>
      <xdr:row>119</xdr:row>
      <xdr:rowOff>330868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21080" y="54710096"/>
          <a:ext cx="1076914" cy="170447"/>
        </a:xfrm>
        <a:prstGeom prst="rect">
          <a:avLst/>
        </a:prstGeom>
      </xdr:spPr>
    </xdr:pic>
    <xdr:clientData/>
  </xdr:twoCellAnchor>
  <xdr:twoCellAnchor editAs="oneCell">
    <xdr:from>
      <xdr:col>3</xdr:col>
      <xdr:colOff>110290</xdr:colOff>
      <xdr:row>120</xdr:row>
      <xdr:rowOff>40105</xdr:rowOff>
    </xdr:from>
    <xdr:to>
      <xdr:col>3</xdr:col>
      <xdr:colOff>1093139</xdr:colOff>
      <xdr:row>120</xdr:row>
      <xdr:rowOff>300789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301290" y="55056505"/>
          <a:ext cx="982849" cy="260684"/>
        </a:xfrm>
        <a:prstGeom prst="rect">
          <a:avLst/>
        </a:prstGeom>
      </xdr:spPr>
    </xdr:pic>
    <xdr:clientData/>
  </xdr:twoCellAnchor>
  <xdr:twoCellAnchor editAs="oneCell">
    <xdr:from>
      <xdr:col>3</xdr:col>
      <xdr:colOff>461210</xdr:colOff>
      <xdr:row>121</xdr:row>
      <xdr:rowOff>70186</xdr:rowOff>
    </xdr:from>
    <xdr:to>
      <xdr:col>3</xdr:col>
      <xdr:colOff>782052</xdr:colOff>
      <xdr:row>121</xdr:row>
      <xdr:rowOff>427412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652210" y="55553311"/>
          <a:ext cx="320842" cy="357226"/>
        </a:xfrm>
        <a:prstGeom prst="rect">
          <a:avLst/>
        </a:prstGeom>
      </xdr:spPr>
    </xdr:pic>
    <xdr:clientData/>
  </xdr:twoCellAnchor>
  <xdr:twoCellAnchor editAs="oneCell">
    <xdr:from>
      <xdr:col>3</xdr:col>
      <xdr:colOff>431131</xdr:colOff>
      <xdr:row>122</xdr:row>
      <xdr:rowOff>80211</xdr:rowOff>
    </xdr:from>
    <xdr:to>
      <xdr:col>3</xdr:col>
      <xdr:colOff>818815</xdr:colOff>
      <xdr:row>122</xdr:row>
      <xdr:rowOff>370974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622131" y="56030061"/>
          <a:ext cx="387684" cy="290763"/>
        </a:xfrm>
        <a:prstGeom prst="rect">
          <a:avLst/>
        </a:prstGeom>
      </xdr:spPr>
    </xdr:pic>
    <xdr:clientData/>
  </xdr:twoCellAnchor>
  <xdr:twoCellAnchor editAs="oneCell">
    <xdr:from>
      <xdr:col>3</xdr:col>
      <xdr:colOff>441156</xdr:colOff>
      <xdr:row>123</xdr:row>
      <xdr:rowOff>80212</xdr:rowOff>
    </xdr:from>
    <xdr:to>
      <xdr:col>3</xdr:col>
      <xdr:colOff>706291</xdr:colOff>
      <xdr:row>123</xdr:row>
      <xdr:rowOff>335319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632156" y="56496787"/>
          <a:ext cx="265135" cy="255107"/>
        </a:xfrm>
        <a:prstGeom prst="rect">
          <a:avLst/>
        </a:prstGeom>
      </xdr:spPr>
    </xdr:pic>
    <xdr:clientData/>
  </xdr:twoCellAnchor>
  <xdr:twoCellAnchor editAs="oneCell">
    <xdr:from>
      <xdr:col>3</xdr:col>
      <xdr:colOff>300789</xdr:colOff>
      <xdr:row>125</xdr:row>
      <xdr:rowOff>20053</xdr:rowOff>
    </xdr:from>
    <xdr:to>
      <xdr:col>3</xdr:col>
      <xdr:colOff>822157</xdr:colOff>
      <xdr:row>125</xdr:row>
      <xdr:rowOff>430720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91789" y="57370078"/>
          <a:ext cx="521368" cy="410667"/>
        </a:xfrm>
        <a:prstGeom prst="rect">
          <a:avLst/>
        </a:prstGeom>
      </xdr:spPr>
    </xdr:pic>
    <xdr:clientData/>
  </xdr:twoCellAnchor>
  <xdr:twoCellAnchor editAs="oneCell">
    <xdr:from>
      <xdr:col>3</xdr:col>
      <xdr:colOff>391026</xdr:colOff>
      <xdr:row>126</xdr:row>
      <xdr:rowOff>60158</xdr:rowOff>
    </xdr:from>
    <xdr:to>
      <xdr:col>3</xdr:col>
      <xdr:colOff>802561</xdr:colOff>
      <xdr:row>126</xdr:row>
      <xdr:rowOff>411079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582026" y="57876908"/>
          <a:ext cx="411535" cy="350921"/>
        </a:xfrm>
        <a:prstGeom prst="rect">
          <a:avLst/>
        </a:prstGeom>
      </xdr:spPr>
    </xdr:pic>
    <xdr:clientData/>
  </xdr:twoCellAnchor>
  <xdr:twoCellAnchor editAs="oneCell">
    <xdr:from>
      <xdr:col>3</xdr:col>
      <xdr:colOff>421104</xdr:colOff>
      <xdr:row>127</xdr:row>
      <xdr:rowOff>40887</xdr:rowOff>
    </xdr:from>
    <xdr:to>
      <xdr:col>3</xdr:col>
      <xdr:colOff>793875</xdr:colOff>
      <xdr:row>127</xdr:row>
      <xdr:rowOff>431131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612104" y="58324362"/>
          <a:ext cx="372771" cy="390244"/>
        </a:xfrm>
        <a:prstGeom prst="rect">
          <a:avLst/>
        </a:prstGeom>
      </xdr:spPr>
    </xdr:pic>
    <xdr:clientData/>
  </xdr:twoCellAnchor>
  <xdr:twoCellAnchor editAs="oneCell">
    <xdr:from>
      <xdr:col>3</xdr:col>
      <xdr:colOff>240632</xdr:colOff>
      <xdr:row>128</xdr:row>
      <xdr:rowOff>160421</xdr:rowOff>
    </xdr:from>
    <xdr:to>
      <xdr:col>3</xdr:col>
      <xdr:colOff>942474</xdr:colOff>
      <xdr:row>128</xdr:row>
      <xdr:rowOff>320573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431632" y="58910621"/>
          <a:ext cx="701842" cy="160152"/>
        </a:xfrm>
        <a:prstGeom prst="rect">
          <a:avLst/>
        </a:prstGeom>
      </xdr:spPr>
    </xdr:pic>
    <xdr:clientData/>
  </xdr:twoCellAnchor>
  <xdr:twoCellAnchor editAs="oneCell">
    <xdr:from>
      <xdr:col>3</xdr:col>
      <xdr:colOff>310816</xdr:colOff>
      <xdr:row>129</xdr:row>
      <xdr:rowOff>120316</xdr:rowOff>
    </xdr:from>
    <xdr:to>
      <xdr:col>3</xdr:col>
      <xdr:colOff>852237</xdr:colOff>
      <xdr:row>129</xdr:row>
      <xdr:rowOff>382823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501816" y="59337241"/>
          <a:ext cx="541421" cy="262507"/>
        </a:xfrm>
        <a:prstGeom prst="rect">
          <a:avLst/>
        </a:prstGeom>
      </xdr:spPr>
    </xdr:pic>
    <xdr:clientData/>
  </xdr:twoCellAnchor>
  <xdr:twoCellAnchor editAs="oneCell">
    <xdr:from>
      <xdr:col>3</xdr:col>
      <xdr:colOff>330868</xdr:colOff>
      <xdr:row>130</xdr:row>
      <xdr:rowOff>60159</xdr:rowOff>
    </xdr:from>
    <xdr:to>
      <xdr:col>3</xdr:col>
      <xdr:colOff>772026</xdr:colOff>
      <xdr:row>130</xdr:row>
      <xdr:rowOff>364621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521868" y="59743809"/>
          <a:ext cx="441158" cy="304462"/>
        </a:xfrm>
        <a:prstGeom prst="rect">
          <a:avLst/>
        </a:prstGeom>
      </xdr:spPr>
    </xdr:pic>
    <xdr:clientData/>
  </xdr:twoCellAnchor>
  <xdr:twoCellAnchor editAs="oneCell">
    <xdr:from>
      <xdr:col>3</xdr:col>
      <xdr:colOff>370973</xdr:colOff>
      <xdr:row>131</xdr:row>
      <xdr:rowOff>80210</xdr:rowOff>
    </xdr:from>
    <xdr:to>
      <xdr:col>3</xdr:col>
      <xdr:colOff>902368</xdr:colOff>
      <xdr:row>131</xdr:row>
      <xdr:rowOff>381473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561973" y="60230585"/>
          <a:ext cx="531395" cy="301263"/>
        </a:xfrm>
        <a:prstGeom prst="rect">
          <a:avLst/>
        </a:prstGeom>
      </xdr:spPr>
    </xdr:pic>
    <xdr:clientData/>
  </xdr:twoCellAnchor>
  <xdr:twoCellAnchor editAs="oneCell">
    <xdr:from>
      <xdr:col>3</xdr:col>
      <xdr:colOff>411079</xdr:colOff>
      <xdr:row>132</xdr:row>
      <xdr:rowOff>160421</xdr:rowOff>
    </xdr:from>
    <xdr:to>
      <xdr:col>3</xdr:col>
      <xdr:colOff>740515</xdr:colOff>
      <xdr:row>132</xdr:row>
      <xdr:rowOff>391026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602079" y="60777521"/>
          <a:ext cx="329436" cy="2306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133</xdr:row>
      <xdr:rowOff>60158</xdr:rowOff>
    </xdr:from>
    <xdr:to>
      <xdr:col>3</xdr:col>
      <xdr:colOff>671763</xdr:colOff>
      <xdr:row>133</xdr:row>
      <xdr:rowOff>389690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572000" y="61143983"/>
          <a:ext cx="290763" cy="329532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3</xdr:row>
      <xdr:rowOff>7976</xdr:rowOff>
    </xdr:from>
    <xdr:to>
      <xdr:col>3</xdr:col>
      <xdr:colOff>864519</xdr:colOff>
      <xdr:row>3</xdr:row>
      <xdr:rowOff>457199</xdr:rowOff>
    </xdr:to>
    <xdr:pic>
      <xdr:nvPicPr>
        <xdr:cNvPr id="69" name="Picture 5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1265276"/>
          <a:ext cx="569244" cy="449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390525</xdr:colOff>
      <xdr:row>4</xdr:row>
      <xdr:rowOff>66675</xdr:rowOff>
    </xdr:from>
    <xdr:to>
      <xdr:col>3</xdr:col>
      <xdr:colOff>800100</xdr:colOff>
      <xdr:row>4</xdr:row>
      <xdr:rowOff>438559</xdr:rowOff>
    </xdr:to>
    <xdr:pic>
      <xdr:nvPicPr>
        <xdr:cNvPr id="70" name="Picture 6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1781175"/>
          <a:ext cx="409575" cy="371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285751</xdr:colOff>
      <xdr:row>5</xdr:row>
      <xdr:rowOff>47625</xdr:rowOff>
    </xdr:from>
    <xdr:to>
      <xdr:col>3</xdr:col>
      <xdr:colOff>723901</xdr:colOff>
      <xdr:row>5</xdr:row>
      <xdr:rowOff>451870</xdr:rowOff>
    </xdr:to>
    <xdr:pic>
      <xdr:nvPicPr>
        <xdr:cNvPr id="71" name="Picture 6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1" y="2219325"/>
          <a:ext cx="438150" cy="404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381001</xdr:colOff>
      <xdr:row>6</xdr:row>
      <xdr:rowOff>85726</xdr:rowOff>
    </xdr:from>
    <xdr:to>
      <xdr:col>3</xdr:col>
      <xdr:colOff>792973</xdr:colOff>
      <xdr:row>6</xdr:row>
      <xdr:rowOff>428625</xdr:rowOff>
    </xdr:to>
    <xdr:pic>
      <xdr:nvPicPr>
        <xdr:cNvPr id="72" name="Picture 6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1" y="2714626"/>
          <a:ext cx="411972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7</xdr:row>
      <xdr:rowOff>9526</xdr:rowOff>
    </xdr:from>
    <xdr:to>
      <xdr:col>3</xdr:col>
      <xdr:colOff>810334</xdr:colOff>
      <xdr:row>7</xdr:row>
      <xdr:rowOff>438150</xdr:rowOff>
    </xdr:to>
    <xdr:pic>
      <xdr:nvPicPr>
        <xdr:cNvPr id="73" name="Picture 6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3095626"/>
          <a:ext cx="457909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8</xdr:row>
      <xdr:rowOff>38101</xdr:rowOff>
    </xdr:from>
    <xdr:to>
      <xdr:col>3</xdr:col>
      <xdr:colOff>800100</xdr:colOff>
      <xdr:row>8</xdr:row>
      <xdr:rowOff>438151</xdr:rowOff>
    </xdr:to>
    <xdr:pic>
      <xdr:nvPicPr>
        <xdr:cNvPr id="74" name="Picture 6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3581401"/>
          <a:ext cx="428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295276</xdr:colOff>
      <xdr:row>9</xdr:row>
      <xdr:rowOff>19050</xdr:rowOff>
    </xdr:from>
    <xdr:to>
      <xdr:col>3</xdr:col>
      <xdr:colOff>760060</xdr:colOff>
      <xdr:row>9</xdr:row>
      <xdr:rowOff>428625</xdr:rowOff>
    </xdr:to>
    <xdr:pic>
      <xdr:nvPicPr>
        <xdr:cNvPr id="75" name="Picture 6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6" y="4019550"/>
          <a:ext cx="46478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323851</xdr:colOff>
      <xdr:row>10</xdr:row>
      <xdr:rowOff>47625</xdr:rowOff>
    </xdr:from>
    <xdr:to>
      <xdr:col>3</xdr:col>
      <xdr:colOff>737199</xdr:colOff>
      <xdr:row>10</xdr:row>
      <xdr:rowOff>438150</xdr:rowOff>
    </xdr:to>
    <xdr:pic>
      <xdr:nvPicPr>
        <xdr:cNvPr id="76" name="Picture 7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1" y="4505325"/>
          <a:ext cx="41334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25</xdr:row>
      <xdr:rowOff>66675</xdr:rowOff>
    </xdr:from>
    <xdr:to>
      <xdr:col>3</xdr:col>
      <xdr:colOff>895350</xdr:colOff>
      <xdr:row>25</xdr:row>
      <xdr:rowOff>455564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11382375"/>
          <a:ext cx="523875" cy="388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323851</xdr:colOff>
      <xdr:row>11</xdr:row>
      <xdr:rowOff>9526</xdr:rowOff>
    </xdr:from>
    <xdr:to>
      <xdr:col>3</xdr:col>
      <xdr:colOff>800100</xdr:colOff>
      <xdr:row>11</xdr:row>
      <xdr:rowOff>452741</xdr:rowOff>
    </xdr:to>
    <xdr:pic>
      <xdr:nvPicPr>
        <xdr:cNvPr id="78" name="Picture 7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851" y="4924426"/>
          <a:ext cx="476249" cy="443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12</xdr:row>
      <xdr:rowOff>57150</xdr:rowOff>
    </xdr:from>
    <xdr:to>
      <xdr:col>3</xdr:col>
      <xdr:colOff>802318</xdr:colOff>
      <xdr:row>12</xdr:row>
      <xdr:rowOff>419100</xdr:rowOff>
    </xdr:to>
    <xdr:pic>
      <xdr:nvPicPr>
        <xdr:cNvPr id="79" name="Picture 7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5429250"/>
          <a:ext cx="48799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13</xdr:row>
      <xdr:rowOff>76200</xdr:rowOff>
    </xdr:from>
    <xdr:to>
      <xdr:col>3</xdr:col>
      <xdr:colOff>779463</xdr:colOff>
      <xdr:row>13</xdr:row>
      <xdr:rowOff>400050</xdr:rowOff>
    </xdr:to>
    <xdr:pic>
      <xdr:nvPicPr>
        <xdr:cNvPr id="80" name="Picture 7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5905500"/>
          <a:ext cx="522288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371475</xdr:colOff>
      <xdr:row>14</xdr:row>
      <xdr:rowOff>47625</xdr:rowOff>
    </xdr:from>
    <xdr:to>
      <xdr:col>3</xdr:col>
      <xdr:colOff>766586</xdr:colOff>
      <xdr:row>14</xdr:row>
      <xdr:rowOff>428625</xdr:rowOff>
    </xdr:to>
    <xdr:pic>
      <xdr:nvPicPr>
        <xdr:cNvPr id="81" name="Picture 76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6334125"/>
          <a:ext cx="395111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15</xdr:row>
      <xdr:rowOff>114301</xdr:rowOff>
    </xdr:from>
    <xdr:to>
      <xdr:col>3</xdr:col>
      <xdr:colOff>723900</xdr:colOff>
      <xdr:row>15</xdr:row>
      <xdr:rowOff>438150</xdr:rowOff>
    </xdr:to>
    <xdr:pic>
      <xdr:nvPicPr>
        <xdr:cNvPr id="82" name="Picture 7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6858001"/>
          <a:ext cx="485775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285751</xdr:colOff>
      <xdr:row>16</xdr:row>
      <xdr:rowOff>47625</xdr:rowOff>
    </xdr:from>
    <xdr:to>
      <xdr:col>3</xdr:col>
      <xdr:colOff>731521</xdr:colOff>
      <xdr:row>16</xdr:row>
      <xdr:rowOff>419100</xdr:rowOff>
    </xdr:to>
    <xdr:pic>
      <xdr:nvPicPr>
        <xdr:cNvPr id="83" name="Picture 7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1" y="7248525"/>
          <a:ext cx="4457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276225</xdr:colOff>
      <xdr:row>17</xdr:row>
      <xdr:rowOff>28575</xdr:rowOff>
    </xdr:from>
    <xdr:to>
      <xdr:col>3</xdr:col>
      <xdr:colOff>742950</xdr:colOff>
      <xdr:row>17</xdr:row>
      <xdr:rowOff>401955</xdr:rowOff>
    </xdr:to>
    <xdr:pic>
      <xdr:nvPicPr>
        <xdr:cNvPr id="84" name="Picture 79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5" y="7686675"/>
          <a:ext cx="466725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18</xdr:row>
      <xdr:rowOff>85725</xdr:rowOff>
    </xdr:from>
    <xdr:to>
      <xdr:col>3</xdr:col>
      <xdr:colOff>733425</xdr:colOff>
      <xdr:row>18</xdr:row>
      <xdr:rowOff>411200</xdr:rowOff>
    </xdr:to>
    <xdr:pic>
      <xdr:nvPicPr>
        <xdr:cNvPr id="85" name="Picture 80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8201025"/>
          <a:ext cx="352425" cy="3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19</xdr:row>
      <xdr:rowOff>9525</xdr:rowOff>
    </xdr:from>
    <xdr:to>
      <xdr:col>3</xdr:col>
      <xdr:colOff>800100</xdr:colOff>
      <xdr:row>19</xdr:row>
      <xdr:rowOff>430530</xdr:rowOff>
    </xdr:to>
    <xdr:pic>
      <xdr:nvPicPr>
        <xdr:cNvPr id="86" name="Picture 5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8582025"/>
          <a:ext cx="485775" cy="42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390526</xdr:colOff>
      <xdr:row>20</xdr:row>
      <xdr:rowOff>47625</xdr:rowOff>
    </xdr:from>
    <xdr:to>
      <xdr:col>3</xdr:col>
      <xdr:colOff>866776</xdr:colOff>
      <xdr:row>20</xdr:row>
      <xdr:rowOff>419100</xdr:rowOff>
    </xdr:to>
    <xdr:pic>
      <xdr:nvPicPr>
        <xdr:cNvPr id="87" name="Picture 53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6" y="9077325"/>
          <a:ext cx="4762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381000</xdr:colOff>
      <xdr:row>21</xdr:row>
      <xdr:rowOff>38101</xdr:rowOff>
    </xdr:from>
    <xdr:to>
      <xdr:col>3</xdr:col>
      <xdr:colOff>733425</xdr:colOff>
      <xdr:row>21</xdr:row>
      <xdr:rowOff>355062</xdr:rowOff>
    </xdr:to>
    <xdr:pic>
      <xdr:nvPicPr>
        <xdr:cNvPr id="88" name="Picture 8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525001"/>
          <a:ext cx="352425" cy="316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314325</xdr:colOff>
      <xdr:row>22</xdr:row>
      <xdr:rowOff>95250</xdr:rowOff>
    </xdr:from>
    <xdr:to>
      <xdr:col>3</xdr:col>
      <xdr:colOff>790575</xdr:colOff>
      <xdr:row>22</xdr:row>
      <xdr:rowOff>400050</xdr:rowOff>
    </xdr:to>
    <xdr:pic>
      <xdr:nvPicPr>
        <xdr:cNvPr id="89" name="Picture 55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0039350"/>
          <a:ext cx="4762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400050</xdr:colOff>
      <xdr:row>24</xdr:row>
      <xdr:rowOff>47625</xdr:rowOff>
    </xdr:from>
    <xdr:to>
      <xdr:col>3</xdr:col>
      <xdr:colOff>847725</xdr:colOff>
      <xdr:row>24</xdr:row>
      <xdr:rowOff>379522</xdr:rowOff>
    </xdr:to>
    <xdr:pic>
      <xdr:nvPicPr>
        <xdr:cNvPr id="90" name="Picture 8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0906125"/>
          <a:ext cx="447675" cy="331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485775</xdr:colOff>
      <xdr:row>23</xdr:row>
      <xdr:rowOff>104775</xdr:rowOff>
    </xdr:from>
    <xdr:to>
      <xdr:col>3</xdr:col>
      <xdr:colOff>736969</xdr:colOff>
      <xdr:row>23</xdr:row>
      <xdr:rowOff>361950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10506075"/>
          <a:ext cx="25119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381001</xdr:colOff>
      <xdr:row>26</xdr:row>
      <xdr:rowOff>123825</xdr:rowOff>
    </xdr:from>
    <xdr:to>
      <xdr:col>3</xdr:col>
      <xdr:colOff>802681</xdr:colOff>
      <xdr:row>26</xdr:row>
      <xdr:rowOff>361950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1" y="11896725"/>
          <a:ext cx="42168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285749</xdr:colOff>
      <xdr:row>27</xdr:row>
      <xdr:rowOff>95904</xdr:rowOff>
    </xdr:from>
    <xdr:to>
      <xdr:col>3</xdr:col>
      <xdr:colOff>836516</xdr:colOff>
      <xdr:row>27</xdr:row>
      <xdr:rowOff>352425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4476749" y="12326004"/>
          <a:ext cx="550767" cy="25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428626</xdr:colOff>
      <xdr:row>28</xdr:row>
      <xdr:rowOff>104775</xdr:rowOff>
    </xdr:from>
    <xdr:to>
      <xdr:col>3</xdr:col>
      <xdr:colOff>733426</xdr:colOff>
      <xdr:row>28</xdr:row>
      <xdr:rowOff>381000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6" y="1279207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476250</xdr:colOff>
      <xdr:row>36</xdr:row>
      <xdr:rowOff>114300</xdr:rowOff>
    </xdr:from>
    <xdr:to>
      <xdr:col>3</xdr:col>
      <xdr:colOff>752475</xdr:colOff>
      <xdr:row>36</xdr:row>
      <xdr:rowOff>341779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16459200"/>
          <a:ext cx="276225" cy="227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333375</xdr:colOff>
      <xdr:row>34</xdr:row>
      <xdr:rowOff>76200</xdr:rowOff>
    </xdr:from>
    <xdr:to>
      <xdr:col>3</xdr:col>
      <xdr:colOff>800100</xdr:colOff>
      <xdr:row>34</xdr:row>
      <xdr:rowOff>364014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15506700"/>
          <a:ext cx="466725" cy="287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276226</xdr:colOff>
      <xdr:row>35</xdr:row>
      <xdr:rowOff>114300</xdr:rowOff>
    </xdr:from>
    <xdr:to>
      <xdr:col>3</xdr:col>
      <xdr:colOff>931070</xdr:colOff>
      <xdr:row>35</xdr:row>
      <xdr:rowOff>381000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7226" y="16002000"/>
          <a:ext cx="654844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257176</xdr:colOff>
      <xdr:row>39</xdr:row>
      <xdr:rowOff>123825</xdr:rowOff>
    </xdr:from>
    <xdr:to>
      <xdr:col>3</xdr:col>
      <xdr:colOff>981075</xdr:colOff>
      <xdr:row>39</xdr:row>
      <xdr:rowOff>361018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6" y="17840325"/>
          <a:ext cx="723899" cy="237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247651</xdr:colOff>
      <xdr:row>41</xdr:row>
      <xdr:rowOff>76201</xdr:rowOff>
    </xdr:from>
    <xdr:to>
      <xdr:col>3</xdr:col>
      <xdr:colOff>991241</xdr:colOff>
      <xdr:row>41</xdr:row>
      <xdr:rowOff>419100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1" y="18707101"/>
          <a:ext cx="743590" cy="34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161925</xdr:colOff>
      <xdr:row>42</xdr:row>
      <xdr:rowOff>238125</xdr:rowOff>
    </xdr:from>
    <xdr:to>
      <xdr:col>3</xdr:col>
      <xdr:colOff>971550</xdr:colOff>
      <xdr:row>42</xdr:row>
      <xdr:rowOff>310530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19326225"/>
          <a:ext cx="809625" cy="7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314325</xdr:colOff>
      <xdr:row>43</xdr:row>
      <xdr:rowOff>123826</xdr:rowOff>
    </xdr:from>
    <xdr:to>
      <xdr:col>3</xdr:col>
      <xdr:colOff>868796</xdr:colOff>
      <xdr:row>43</xdr:row>
      <xdr:rowOff>342900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9669126"/>
          <a:ext cx="554471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485775</xdr:colOff>
      <xdr:row>44</xdr:row>
      <xdr:rowOff>123826</xdr:rowOff>
    </xdr:from>
    <xdr:to>
      <xdr:col>3</xdr:col>
      <xdr:colOff>777741</xdr:colOff>
      <xdr:row>44</xdr:row>
      <xdr:rowOff>390526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20126326"/>
          <a:ext cx="291966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504826</xdr:colOff>
      <xdr:row>45</xdr:row>
      <xdr:rowOff>95251</xdr:rowOff>
    </xdr:from>
    <xdr:to>
      <xdr:col>3</xdr:col>
      <xdr:colOff>695326</xdr:colOff>
      <xdr:row>45</xdr:row>
      <xdr:rowOff>423089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5826" y="20554951"/>
          <a:ext cx="190500" cy="32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295275</xdr:colOff>
      <xdr:row>46</xdr:row>
      <xdr:rowOff>133350</xdr:rowOff>
    </xdr:from>
    <xdr:to>
      <xdr:col>3</xdr:col>
      <xdr:colOff>1057275</xdr:colOff>
      <xdr:row>46</xdr:row>
      <xdr:rowOff>333375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2105025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47</xdr:row>
      <xdr:rowOff>161925</xdr:rowOff>
    </xdr:from>
    <xdr:to>
      <xdr:col>3</xdr:col>
      <xdr:colOff>971550</xdr:colOff>
      <xdr:row>47</xdr:row>
      <xdr:rowOff>314325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1536025"/>
          <a:ext cx="762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457201</xdr:colOff>
      <xdr:row>48</xdr:row>
      <xdr:rowOff>104775</xdr:rowOff>
    </xdr:from>
    <xdr:to>
      <xdr:col>3</xdr:col>
      <xdr:colOff>788267</xdr:colOff>
      <xdr:row>48</xdr:row>
      <xdr:rowOff>400050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1" y="21936075"/>
          <a:ext cx="331066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304800</xdr:colOff>
      <xdr:row>40</xdr:row>
      <xdr:rowOff>123825</xdr:rowOff>
    </xdr:from>
    <xdr:to>
      <xdr:col>3</xdr:col>
      <xdr:colOff>919024</xdr:colOff>
      <xdr:row>40</xdr:row>
      <xdr:rowOff>381000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0" y="18297525"/>
          <a:ext cx="61422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49</xdr:row>
      <xdr:rowOff>114301</xdr:rowOff>
    </xdr:from>
    <xdr:to>
      <xdr:col>3</xdr:col>
      <xdr:colOff>962025</xdr:colOff>
      <xdr:row>49</xdr:row>
      <xdr:rowOff>382982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22402801"/>
          <a:ext cx="714375" cy="268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409575</xdr:colOff>
      <xdr:row>51</xdr:row>
      <xdr:rowOff>114300</xdr:rowOff>
    </xdr:from>
    <xdr:to>
      <xdr:col>3</xdr:col>
      <xdr:colOff>828675</xdr:colOff>
      <xdr:row>51</xdr:row>
      <xdr:rowOff>419100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23317200"/>
          <a:ext cx="419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447674</xdr:colOff>
      <xdr:row>50</xdr:row>
      <xdr:rowOff>91167</xdr:rowOff>
    </xdr:from>
    <xdr:to>
      <xdr:col>3</xdr:col>
      <xdr:colOff>815051</xdr:colOff>
      <xdr:row>50</xdr:row>
      <xdr:rowOff>386442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959474">
          <a:off x="4638674" y="22836867"/>
          <a:ext cx="367377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342900</xdr:colOff>
      <xdr:row>30</xdr:row>
      <xdr:rowOff>95251</xdr:rowOff>
    </xdr:from>
    <xdr:to>
      <xdr:col>3</xdr:col>
      <xdr:colOff>794053</xdr:colOff>
      <xdr:row>30</xdr:row>
      <xdr:rowOff>400050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3900" y="13696951"/>
          <a:ext cx="451153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314325</xdr:colOff>
      <xdr:row>31</xdr:row>
      <xdr:rowOff>114300</xdr:rowOff>
    </xdr:from>
    <xdr:to>
      <xdr:col>3</xdr:col>
      <xdr:colOff>805815</xdr:colOff>
      <xdr:row>31</xdr:row>
      <xdr:rowOff>391190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4173200"/>
          <a:ext cx="491490" cy="27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360947</xdr:colOff>
      <xdr:row>70</xdr:row>
      <xdr:rowOff>60159</xdr:rowOff>
    </xdr:from>
    <xdr:ext cx="451184" cy="358082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51947" y="31835559"/>
          <a:ext cx="451184" cy="358082"/>
        </a:xfrm>
        <a:prstGeom prst="rect">
          <a:avLst/>
        </a:prstGeom>
      </xdr:spPr>
    </xdr:pic>
    <xdr:clientData/>
  </xdr:oneCellAnchor>
  <xdr:twoCellAnchor editAs="oneCell">
    <xdr:from>
      <xdr:col>3</xdr:col>
      <xdr:colOff>272143</xdr:colOff>
      <xdr:row>82</xdr:row>
      <xdr:rowOff>54429</xdr:rowOff>
    </xdr:from>
    <xdr:to>
      <xdr:col>3</xdr:col>
      <xdr:colOff>1003833</xdr:colOff>
      <xdr:row>82</xdr:row>
      <xdr:rowOff>378279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63143" y="37335279"/>
          <a:ext cx="73169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431131</xdr:colOff>
      <xdr:row>62</xdr:row>
      <xdr:rowOff>50132</xdr:rowOff>
    </xdr:from>
    <xdr:to>
      <xdr:col>2</xdr:col>
      <xdr:colOff>772026</xdr:colOff>
      <xdr:row>62</xdr:row>
      <xdr:rowOff>401357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5331" y="28567982"/>
          <a:ext cx="340895" cy="351225"/>
        </a:xfrm>
        <a:prstGeom prst="rect">
          <a:avLst/>
        </a:prstGeom>
      </xdr:spPr>
    </xdr:pic>
    <xdr:clientData/>
  </xdr:twoCellAnchor>
  <xdr:twoCellAnchor editAs="oneCell">
    <xdr:from>
      <xdr:col>2</xdr:col>
      <xdr:colOff>431132</xdr:colOff>
      <xdr:row>63</xdr:row>
      <xdr:rowOff>70184</xdr:rowOff>
    </xdr:from>
    <xdr:to>
      <xdr:col>2</xdr:col>
      <xdr:colOff>772027</xdr:colOff>
      <xdr:row>63</xdr:row>
      <xdr:rowOff>391330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5332" y="29045234"/>
          <a:ext cx="340895" cy="32114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64</xdr:row>
      <xdr:rowOff>60158</xdr:rowOff>
    </xdr:from>
    <xdr:to>
      <xdr:col>2</xdr:col>
      <xdr:colOff>812132</xdr:colOff>
      <xdr:row>64</xdr:row>
      <xdr:rowOff>397764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29492408"/>
          <a:ext cx="431132" cy="337606"/>
        </a:xfrm>
        <a:prstGeom prst="rect">
          <a:avLst/>
        </a:prstGeom>
      </xdr:spPr>
    </xdr:pic>
    <xdr:clientData/>
  </xdr:twoCellAnchor>
  <xdr:twoCellAnchor editAs="oneCell">
    <xdr:from>
      <xdr:col>2</xdr:col>
      <xdr:colOff>411079</xdr:colOff>
      <xdr:row>66</xdr:row>
      <xdr:rowOff>80210</xdr:rowOff>
    </xdr:from>
    <xdr:to>
      <xdr:col>2</xdr:col>
      <xdr:colOff>782053</xdr:colOff>
      <xdr:row>66</xdr:row>
      <xdr:rowOff>417816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5279" y="30426860"/>
          <a:ext cx="370974" cy="337606"/>
        </a:xfrm>
        <a:prstGeom prst="rect">
          <a:avLst/>
        </a:prstGeom>
      </xdr:spPr>
    </xdr:pic>
    <xdr:clientData/>
  </xdr:twoCellAnchor>
  <xdr:twoCellAnchor editAs="oneCell">
    <xdr:from>
      <xdr:col>2</xdr:col>
      <xdr:colOff>360947</xdr:colOff>
      <xdr:row>65</xdr:row>
      <xdr:rowOff>60159</xdr:rowOff>
    </xdr:from>
    <xdr:to>
      <xdr:col>2</xdr:col>
      <xdr:colOff>812131</xdr:colOff>
      <xdr:row>65</xdr:row>
      <xdr:rowOff>418241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85147" y="29949609"/>
          <a:ext cx="451184" cy="358082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370974</xdr:colOff>
      <xdr:row>67</xdr:row>
      <xdr:rowOff>70185</xdr:rowOff>
    </xdr:from>
    <xdr:to>
      <xdr:col>2</xdr:col>
      <xdr:colOff>809398</xdr:colOff>
      <xdr:row>67</xdr:row>
      <xdr:rowOff>441159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5174" y="30874035"/>
          <a:ext cx="438424" cy="370974"/>
        </a:xfrm>
        <a:prstGeom prst="rect">
          <a:avLst/>
        </a:prstGeom>
      </xdr:spPr>
    </xdr:pic>
    <xdr:clientData/>
  </xdr:twoCellAnchor>
  <xdr:twoCellAnchor editAs="oneCell">
    <xdr:from>
      <xdr:col>2</xdr:col>
      <xdr:colOff>391027</xdr:colOff>
      <xdr:row>68</xdr:row>
      <xdr:rowOff>50131</xdr:rowOff>
    </xdr:from>
    <xdr:to>
      <xdr:col>2</xdr:col>
      <xdr:colOff>828022</xdr:colOff>
      <xdr:row>68</xdr:row>
      <xdr:rowOff>421105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15227" y="31311181"/>
          <a:ext cx="436995" cy="370974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370973</xdr:colOff>
      <xdr:row>69</xdr:row>
      <xdr:rowOff>60157</xdr:rowOff>
    </xdr:from>
    <xdr:to>
      <xdr:col>2</xdr:col>
      <xdr:colOff>812131</xdr:colOff>
      <xdr:row>69</xdr:row>
      <xdr:rowOff>432384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95173" y="31778407"/>
          <a:ext cx="441158" cy="372227"/>
        </a:xfrm>
        <a:prstGeom prst="rect">
          <a:avLst/>
        </a:prstGeom>
      </xdr:spPr>
    </xdr:pic>
    <xdr:clientData/>
  </xdr:twoCellAnchor>
  <xdr:twoCellAnchor editAs="oneCell">
    <xdr:from>
      <xdr:col>2</xdr:col>
      <xdr:colOff>431132</xdr:colOff>
      <xdr:row>70</xdr:row>
      <xdr:rowOff>140368</xdr:rowOff>
    </xdr:from>
    <xdr:to>
      <xdr:col>2</xdr:col>
      <xdr:colOff>865605</xdr:colOff>
      <xdr:row>70</xdr:row>
      <xdr:rowOff>370973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55332" y="32315818"/>
          <a:ext cx="434473" cy="230605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370975</xdr:colOff>
      <xdr:row>71</xdr:row>
      <xdr:rowOff>60843</xdr:rowOff>
    </xdr:from>
    <xdr:to>
      <xdr:col>2</xdr:col>
      <xdr:colOff>741949</xdr:colOff>
      <xdr:row>71</xdr:row>
      <xdr:rowOff>421440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95175" y="32693493"/>
          <a:ext cx="370974" cy="360597"/>
        </a:xfrm>
        <a:prstGeom prst="rect">
          <a:avLst/>
        </a:prstGeom>
      </xdr:spPr>
    </xdr:pic>
    <xdr:clientData/>
  </xdr:twoCellAnchor>
  <xdr:twoCellAnchor editAs="oneCell">
    <xdr:from>
      <xdr:col>2</xdr:col>
      <xdr:colOff>360948</xdr:colOff>
      <xdr:row>72</xdr:row>
      <xdr:rowOff>197989</xdr:rowOff>
    </xdr:from>
    <xdr:to>
      <xdr:col>2</xdr:col>
      <xdr:colOff>878154</xdr:colOff>
      <xdr:row>72</xdr:row>
      <xdr:rowOff>299006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flipV="1">
          <a:off x="3485148" y="33287839"/>
          <a:ext cx="517206" cy="101017"/>
        </a:xfrm>
        <a:prstGeom prst="rect">
          <a:avLst/>
        </a:prstGeom>
      </xdr:spPr>
    </xdr:pic>
    <xdr:clientData/>
  </xdr:twoCellAnchor>
  <xdr:twoCellAnchor editAs="oneCell">
    <xdr:from>
      <xdr:col>2</xdr:col>
      <xdr:colOff>411080</xdr:colOff>
      <xdr:row>73</xdr:row>
      <xdr:rowOff>86629</xdr:rowOff>
    </xdr:from>
    <xdr:to>
      <xdr:col>2</xdr:col>
      <xdr:colOff>671764</xdr:colOff>
      <xdr:row>73</xdr:row>
      <xdr:rowOff>371906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35280" y="33633679"/>
          <a:ext cx="260684" cy="285277"/>
        </a:xfrm>
        <a:prstGeom prst="rect">
          <a:avLst/>
        </a:prstGeom>
      </xdr:spPr>
    </xdr:pic>
    <xdr:clientData/>
  </xdr:twoCellAnchor>
  <xdr:twoCellAnchor editAs="oneCell">
    <xdr:from>
      <xdr:col>2</xdr:col>
      <xdr:colOff>411080</xdr:colOff>
      <xdr:row>74</xdr:row>
      <xdr:rowOff>135592</xdr:rowOff>
    </xdr:from>
    <xdr:to>
      <xdr:col>2</xdr:col>
      <xdr:colOff>731922</xdr:colOff>
      <xdr:row>74</xdr:row>
      <xdr:rowOff>381432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35280" y="34139842"/>
          <a:ext cx="320842" cy="245840"/>
        </a:xfrm>
        <a:prstGeom prst="rect">
          <a:avLst/>
        </a:prstGeom>
      </xdr:spPr>
    </xdr:pic>
    <xdr:clientData/>
  </xdr:twoCellAnchor>
  <xdr:twoCellAnchor editAs="oneCell">
    <xdr:from>
      <xdr:col>2</xdr:col>
      <xdr:colOff>320842</xdr:colOff>
      <xdr:row>75</xdr:row>
      <xdr:rowOff>90235</xdr:rowOff>
    </xdr:from>
    <xdr:to>
      <xdr:col>2</xdr:col>
      <xdr:colOff>743383</xdr:colOff>
      <xdr:row>75</xdr:row>
      <xdr:rowOff>370398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45042" y="34551685"/>
          <a:ext cx="422541" cy="280163"/>
        </a:xfrm>
        <a:prstGeom prst="rect">
          <a:avLst/>
        </a:prstGeom>
      </xdr:spPr>
    </xdr:pic>
    <xdr:clientData/>
  </xdr:twoCellAnchor>
  <xdr:twoCellAnchor editAs="oneCell">
    <xdr:from>
      <xdr:col>2</xdr:col>
      <xdr:colOff>411079</xdr:colOff>
      <xdr:row>52</xdr:row>
      <xdr:rowOff>70184</xdr:rowOff>
    </xdr:from>
    <xdr:to>
      <xdr:col>2</xdr:col>
      <xdr:colOff>842211</xdr:colOff>
      <xdr:row>52</xdr:row>
      <xdr:rowOff>407790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5279" y="24130334"/>
          <a:ext cx="431132" cy="337606"/>
        </a:xfrm>
        <a:prstGeom prst="rect">
          <a:avLst/>
        </a:prstGeom>
      </xdr:spPr>
    </xdr:pic>
    <xdr:clientData/>
  </xdr:twoCellAnchor>
  <xdr:twoCellAnchor editAs="oneCell">
    <xdr:from>
      <xdr:col>2</xdr:col>
      <xdr:colOff>441158</xdr:colOff>
      <xdr:row>54</xdr:row>
      <xdr:rowOff>90236</xdr:rowOff>
    </xdr:from>
    <xdr:to>
      <xdr:col>2</xdr:col>
      <xdr:colOff>812132</xdr:colOff>
      <xdr:row>54</xdr:row>
      <xdr:rowOff>427842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358" y="25064786"/>
          <a:ext cx="370974" cy="337606"/>
        </a:xfrm>
        <a:prstGeom prst="rect">
          <a:avLst/>
        </a:prstGeom>
      </xdr:spPr>
    </xdr:pic>
    <xdr:clientData/>
  </xdr:twoCellAnchor>
  <xdr:twoCellAnchor editAs="oneCell">
    <xdr:from>
      <xdr:col>2</xdr:col>
      <xdr:colOff>391026</xdr:colOff>
      <xdr:row>53</xdr:row>
      <xdr:rowOff>70186</xdr:rowOff>
    </xdr:from>
    <xdr:to>
      <xdr:col>2</xdr:col>
      <xdr:colOff>842210</xdr:colOff>
      <xdr:row>53</xdr:row>
      <xdr:rowOff>428268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15226" y="24587536"/>
          <a:ext cx="451184" cy="358082"/>
        </a:xfrm>
        <a:prstGeom prst="rect">
          <a:avLst/>
        </a:prstGeom>
      </xdr:spPr>
    </xdr:pic>
    <xdr:clientData/>
  </xdr:twoCellAnchor>
  <xdr:twoCellAnchor editAs="oneCell">
    <xdr:from>
      <xdr:col>2</xdr:col>
      <xdr:colOff>421106</xdr:colOff>
      <xdr:row>56</xdr:row>
      <xdr:rowOff>30079</xdr:rowOff>
    </xdr:from>
    <xdr:to>
      <xdr:col>2</xdr:col>
      <xdr:colOff>858101</xdr:colOff>
      <xdr:row>56</xdr:row>
      <xdr:rowOff>401053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45306" y="25919029"/>
          <a:ext cx="436995" cy="370974"/>
        </a:xfrm>
        <a:prstGeom prst="rect">
          <a:avLst/>
        </a:prstGeom>
      </xdr:spPr>
    </xdr:pic>
    <xdr:clientData/>
  </xdr:twoCellAnchor>
  <xdr:twoCellAnchor editAs="oneCell">
    <xdr:from>
      <xdr:col>2</xdr:col>
      <xdr:colOff>401052</xdr:colOff>
      <xdr:row>57</xdr:row>
      <xdr:rowOff>70183</xdr:rowOff>
    </xdr:from>
    <xdr:to>
      <xdr:col>2</xdr:col>
      <xdr:colOff>842210</xdr:colOff>
      <xdr:row>57</xdr:row>
      <xdr:rowOff>442410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5252" y="26416333"/>
          <a:ext cx="441158" cy="372227"/>
        </a:xfrm>
        <a:prstGeom prst="rect">
          <a:avLst/>
        </a:prstGeom>
      </xdr:spPr>
    </xdr:pic>
    <xdr:clientData/>
  </xdr:twoCellAnchor>
  <xdr:twoCellAnchor editAs="oneCell">
    <xdr:from>
      <xdr:col>2</xdr:col>
      <xdr:colOff>461211</xdr:colOff>
      <xdr:row>58</xdr:row>
      <xdr:rowOff>150395</xdr:rowOff>
    </xdr:from>
    <xdr:to>
      <xdr:col>2</xdr:col>
      <xdr:colOff>895684</xdr:colOff>
      <xdr:row>58</xdr:row>
      <xdr:rowOff>381000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85411" y="26953745"/>
          <a:ext cx="434473" cy="230605"/>
        </a:xfrm>
        <a:prstGeom prst="rect">
          <a:avLst/>
        </a:prstGeom>
      </xdr:spPr>
    </xdr:pic>
    <xdr:clientData/>
  </xdr:twoCellAnchor>
  <xdr:twoCellAnchor editAs="oneCell">
    <xdr:from>
      <xdr:col>2</xdr:col>
      <xdr:colOff>401054</xdr:colOff>
      <xdr:row>59</xdr:row>
      <xdr:rowOff>70869</xdr:rowOff>
    </xdr:from>
    <xdr:to>
      <xdr:col>2</xdr:col>
      <xdr:colOff>772028</xdr:colOff>
      <xdr:row>59</xdr:row>
      <xdr:rowOff>431466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25254" y="27331419"/>
          <a:ext cx="370974" cy="360597"/>
        </a:xfrm>
        <a:prstGeom prst="rect">
          <a:avLst/>
        </a:prstGeom>
      </xdr:spPr>
    </xdr:pic>
    <xdr:clientData/>
  </xdr:twoCellAnchor>
  <xdr:twoCellAnchor editAs="oneCell">
    <xdr:from>
      <xdr:col>2</xdr:col>
      <xdr:colOff>461211</xdr:colOff>
      <xdr:row>50</xdr:row>
      <xdr:rowOff>10026</xdr:rowOff>
    </xdr:from>
    <xdr:to>
      <xdr:col>2</xdr:col>
      <xdr:colOff>802106</xdr:colOff>
      <xdr:row>50</xdr:row>
      <xdr:rowOff>433755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85411" y="23155776"/>
          <a:ext cx="340895" cy="423729"/>
        </a:xfrm>
        <a:prstGeom prst="rect">
          <a:avLst/>
        </a:prstGeom>
      </xdr:spPr>
    </xdr:pic>
    <xdr:clientData/>
  </xdr:twoCellAnchor>
  <xdr:twoCellAnchor editAs="oneCell">
    <xdr:from>
      <xdr:col>2</xdr:col>
      <xdr:colOff>451184</xdr:colOff>
      <xdr:row>51</xdr:row>
      <xdr:rowOff>50132</xdr:rowOff>
    </xdr:from>
    <xdr:to>
      <xdr:col>2</xdr:col>
      <xdr:colOff>792079</xdr:colOff>
      <xdr:row>51</xdr:row>
      <xdr:rowOff>403676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575384" y="23653082"/>
          <a:ext cx="340895" cy="353544"/>
        </a:xfrm>
        <a:prstGeom prst="rect">
          <a:avLst/>
        </a:prstGeom>
      </xdr:spPr>
    </xdr:pic>
    <xdr:clientData/>
  </xdr:twoCellAnchor>
  <xdr:twoCellAnchor editAs="oneCell">
    <xdr:from>
      <xdr:col>2</xdr:col>
      <xdr:colOff>390023</xdr:colOff>
      <xdr:row>55</xdr:row>
      <xdr:rowOff>49630</xdr:rowOff>
    </xdr:from>
    <xdr:to>
      <xdr:col>2</xdr:col>
      <xdr:colOff>871286</xdr:colOff>
      <xdr:row>55</xdr:row>
      <xdr:rowOff>384283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14223" y="25481380"/>
          <a:ext cx="481263" cy="334653"/>
        </a:xfrm>
        <a:prstGeom prst="rect">
          <a:avLst/>
        </a:prstGeom>
      </xdr:spPr>
    </xdr:pic>
    <xdr:clientData/>
  </xdr:twoCellAnchor>
  <xdr:twoCellAnchor editAs="oneCell">
    <xdr:from>
      <xdr:col>2</xdr:col>
      <xdr:colOff>491289</xdr:colOff>
      <xdr:row>60</xdr:row>
      <xdr:rowOff>100263</xdr:rowOff>
    </xdr:from>
    <xdr:to>
      <xdr:col>2</xdr:col>
      <xdr:colOff>738388</xdr:colOff>
      <xdr:row>60</xdr:row>
      <xdr:rowOff>418497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15489" y="27818013"/>
          <a:ext cx="247099" cy="318234"/>
        </a:xfrm>
        <a:prstGeom prst="rect">
          <a:avLst/>
        </a:prstGeom>
      </xdr:spPr>
    </xdr:pic>
    <xdr:clientData/>
  </xdr:twoCellAnchor>
  <xdr:twoCellAnchor editAs="oneCell">
    <xdr:from>
      <xdr:col>2</xdr:col>
      <xdr:colOff>260684</xdr:colOff>
      <xdr:row>77</xdr:row>
      <xdr:rowOff>60158</xdr:rowOff>
    </xdr:from>
    <xdr:to>
      <xdr:col>2</xdr:col>
      <xdr:colOff>932447</xdr:colOff>
      <xdr:row>77</xdr:row>
      <xdr:rowOff>375751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84884" y="35445533"/>
          <a:ext cx="671763" cy="315593"/>
        </a:xfrm>
        <a:prstGeom prst="rect">
          <a:avLst/>
        </a:prstGeom>
      </xdr:spPr>
    </xdr:pic>
    <xdr:clientData/>
  </xdr:twoCellAnchor>
  <xdr:twoCellAnchor editAs="oneCell">
    <xdr:from>
      <xdr:col>2</xdr:col>
      <xdr:colOff>280737</xdr:colOff>
      <xdr:row>78</xdr:row>
      <xdr:rowOff>100263</xdr:rowOff>
    </xdr:from>
    <xdr:to>
      <xdr:col>2</xdr:col>
      <xdr:colOff>927434</xdr:colOff>
      <xdr:row>78</xdr:row>
      <xdr:rowOff>391026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04937" y="35952363"/>
          <a:ext cx="646697" cy="290763"/>
        </a:xfrm>
        <a:prstGeom prst="rect">
          <a:avLst/>
        </a:prstGeom>
      </xdr:spPr>
    </xdr:pic>
    <xdr:clientData/>
  </xdr:twoCellAnchor>
  <xdr:twoCellAnchor editAs="oneCell">
    <xdr:from>
      <xdr:col>2</xdr:col>
      <xdr:colOff>321702</xdr:colOff>
      <xdr:row>79</xdr:row>
      <xdr:rowOff>30080</xdr:rowOff>
    </xdr:from>
    <xdr:to>
      <xdr:col>2</xdr:col>
      <xdr:colOff>791481</xdr:colOff>
      <xdr:row>79</xdr:row>
      <xdr:rowOff>436062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445902" y="36348905"/>
          <a:ext cx="469779" cy="405982"/>
        </a:xfrm>
        <a:prstGeom prst="rect">
          <a:avLst/>
        </a:prstGeom>
      </xdr:spPr>
    </xdr:pic>
    <xdr:clientData/>
  </xdr:twoCellAnchor>
  <xdr:twoCellAnchor editAs="oneCell">
    <xdr:from>
      <xdr:col>2</xdr:col>
      <xdr:colOff>398775</xdr:colOff>
      <xdr:row>80</xdr:row>
      <xdr:rowOff>110289</xdr:rowOff>
    </xdr:from>
    <xdr:to>
      <xdr:col>2</xdr:col>
      <xdr:colOff>772458</xdr:colOff>
      <xdr:row>80</xdr:row>
      <xdr:rowOff>388968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22975" y="36895839"/>
          <a:ext cx="373683" cy="278679"/>
        </a:xfrm>
        <a:prstGeom prst="rect">
          <a:avLst/>
        </a:prstGeom>
      </xdr:spPr>
    </xdr:pic>
    <xdr:clientData/>
  </xdr:twoCellAnchor>
  <xdr:twoCellAnchor editAs="oneCell">
    <xdr:from>
      <xdr:col>2</xdr:col>
      <xdr:colOff>437194</xdr:colOff>
      <xdr:row>81</xdr:row>
      <xdr:rowOff>100262</xdr:rowOff>
    </xdr:from>
    <xdr:to>
      <xdr:col>2</xdr:col>
      <xdr:colOff>703302</xdr:colOff>
      <xdr:row>81</xdr:row>
      <xdr:rowOff>409523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61394" y="37352537"/>
          <a:ext cx="266108" cy="309261"/>
        </a:xfrm>
        <a:prstGeom prst="rect">
          <a:avLst/>
        </a:prstGeom>
      </xdr:spPr>
    </xdr:pic>
    <xdr:clientData/>
  </xdr:twoCellAnchor>
  <xdr:twoCellAnchor editAs="oneCell">
    <xdr:from>
      <xdr:col>2</xdr:col>
      <xdr:colOff>497557</xdr:colOff>
      <xdr:row>82</xdr:row>
      <xdr:rowOff>110290</xdr:rowOff>
    </xdr:from>
    <xdr:to>
      <xdr:col>2</xdr:col>
      <xdr:colOff>714837</xdr:colOff>
      <xdr:row>82</xdr:row>
      <xdr:rowOff>417038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21757" y="37829290"/>
          <a:ext cx="217280" cy="306748"/>
        </a:xfrm>
        <a:prstGeom prst="rect">
          <a:avLst/>
        </a:prstGeom>
      </xdr:spPr>
    </xdr:pic>
    <xdr:clientData/>
  </xdr:twoCellAnchor>
  <xdr:twoCellAnchor editAs="oneCell">
    <xdr:from>
      <xdr:col>2</xdr:col>
      <xdr:colOff>210553</xdr:colOff>
      <xdr:row>83</xdr:row>
      <xdr:rowOff>100263</xdr:rowOff>
    </xdr:from>
    <xdr:to>
      <xdr:col>2</xdr:col>
      <xdr:colOff>923728</xdr:colOff>
      <xdr:row>83</xdr:row>
      <xdr:rowOff>427542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334753" y="38285988"/>
          <a:ext cx="713175" cy="327279"/>
        </a:xfrm>
        <a:prstGeom prst="rect">
          <a:avLst/>
        </a:prstGeom>
      </xdr:spPr>
    </xdr:pic>
    <xdr:clientData/>
  </xdr:twoCellAnchor>
  <xdr:twoCellAnchor editAs="oneCell">
    <xdr:from>
      <xdr:col>2</xdr:col>
      <xdr:colOff>331703</xdr:colOff>
      <xdr:row>84</xdr:row>
      <xdr:rowOff>56920</xdr:rowOff>
    </xdr:from>
    <xdr:to>
      <xdr:col>2</xdr:col>
      <xdr:colOff>892342</xdr:colOff>
      <xdr:row>84</xdr:row>
      <xdr:rowOff>411008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55903" y="38709370"/>
          <a:ext cx="560639" cy="354088"/>
        </a:xfrm>
        <a:prstGeom prst="rect">
          <a:avLst/>
        </a:prstGeom>
      </xdr:spPr>
    </xdr:pic>
    <xdr:clientData/>
  </xdr:twoCellAnchor>
  <xdr:twoCellAnchor editAs="oneCell">
    <xdr:from>
      <xdr:col>2</xdr:col>
      <xdr:colOff>472215</xdr:colOff>
      <xdr:row>85</xdr:row>
      <xdr:rowOff>120316</xdr:rowOff>
    </xdr:from>
    <xdr:to>
      <xdr:col>2</xdr:col>
      <xdr:colOff>694280</xdr:colOff>
      <xdr:row>85</xdr:row>
      <xdr:rowOff>380450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96415" y="39239491"/>
          <a:ext cx="222065" cy="260134"/>
        </a:xfrm>
        <a:prstGeom prst="rect">
          <a:avLst/>
        </a:prstGeom>
      </xdr:spPr>
    </xdr:pic>
    <xdr:clientData/>
  </xdr:twoCellAnchor>
  <xdr:twoCellAnchor editAs="oneCell">
    <xdr:from>
      <xdr:col>2</xdr:col>
      <xdr:colOff>500826</xdr:colOff>
      <xdr:row>86</xdr:row>
      <xdr:rowOff>80210</xdr:rowOff>
    </xdr:from>
    <xdr:to>
      <xdr:col>2</xdr:col>
      <xdr:colOff>727373</xdr:colOff>
      <xdr:row>86</xdr:row>
      <xdr:rowOff>400501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625026" y="39666110"/>
          <a:ext cx="226547" cy="320291"/>
        </a:xfrm>
        <a:prstGeom prst="rect">
          <a:avLst/>
        </a:prstGeom>
      </xdr:spPr>
    </xdr:pic>
    <xdr:clientData/>
  </xdr:twoCellAnchor>
  <xdr:twoCellAnchor editAs="oneCell">
    <xdr:from>
      <xdr:col>2</xdr:col>
      <xdr:colOff>300790</xdr:colOff>
      <xdr:row>88</xdr:row>
      <xdr:rowOff>140369</xdr:rowOff>
    </xdr:from>
    <xdr:to>
      <xdr:col>2</xdr:col>
      <xdr:colOff>822158</xdr:colOff>
      <xdr:row>88</xdr:row>
      <xdr:rowOff>320037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424990" y="40659719"/>
          <a:ext cx="521368" cy="179668"/>
        </a:xfrm>
        <a:prstGeom prst="rect">
          <a:avLst/>
        </a:prstGeom>
      </xdr:spPr>
    </xdr:pic>
    <xdr:clientData/>
  </xdr:twoCellAnchor>
  <xdr:twoCellAnchor editAs="oneCell">
    <xdr:from>
      <xdr:col>2</xdr:col>
      <xdr:colOff>250659</xdr:colOff>
      <xdr:row>89</xdr:row>
      <xdr:rowOff>180474</xdr:rowOff>
    </xdr:from>
    <xdr:to>
      <xdr:col>2</xdr:col>
      <xdr:colOff>915839</xdr:colOff>
      <xdr:row>89</xdr:row>
      <xdr:rowOff>290763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374859" y="41166549"/>
          <a:ext cx="665180" cy="110289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90</xdr:row>
      <xdr:rowOff>167561</xdr:rowOff>
    </xdr:from>
    <xdr:to>
      <xdr:col>2</xdr:col>
      <xdr:colOff>962527</xdr:colOff>
      <xdr:row>90</xdr:row>
      <xdr:rowOff>333333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314701" y="41620361"/>
          <a:ext cx="772026" cy="165772"/>
        </a:xfrm>
        <a:prstGeom prst="rect">
          <a:avLst/>
        </a:prstGeom>
      </xdr:spPr>
    </xdr:pic>
    <xdr:clientData/>
  </xdr:twoCellAnchor>
  <xdr:twoCellAnchor editAs="oneCell">
    <xdr:from>
      <xdr:col>2</xdr:col>
      <xdr:colOff>210553</xdr:colOff>
      <xdr:row>91</xdr:row>
      <xdr:rowOff>169343</xdr:rowOff>
    </xdr:from>
    <xdr:to>
      <xdr:col>2</xdr:col>
      <xdr:colOff>1072816</xdr:colOff>
      <xdr:row>91</xdr:row>
      <xdr:rowOff>350872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34753" y="42088868"/>
          <a:ext cx="862263" cy="181529"/>
        </a:xfrm>
        <a:prstGeom prst="rect">
          <a:avLst/>
        </a:prstGeom>
      </xdr:spPr>
    </xdr:pic>
    <xdr:clientData/>
  </xdr:twoCellAnchor>
  <xdr:twoCellAnchor editAs="oneCell">
    <xdr:from>
      <xdr:col>2</xdr:col>
      <xdr:colOff>90237</xdr:colOff>
      <xdr:row>92</xdr:row>
      <xdr:rowOff>177421</xdr:rowOff>
    </xdr:from>
    <xdr:to>
      <xdr:col>2</xdr:col>
      <xdr:colOff>1012658</xdr:colOff>
      <xdr:row>92</xdr:row>
      <xdr:rowOff>361905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214437" y="42563671"/>
          <a:ext cx="922421" cy="184484"/>
        </a:xfrm>
        <a:prstGeom prst="rect">
          <a:avLst/>
        </a:prstGeom>
      </xdr:spPr>
    </xdr:pic>
    <xdr:clientData/>
  </xdr:twoCellAnchor>
  <xdr:twoCellAnchor editAs="oneCell">
    <xdr:from>
      <xdr:col>2</xdr:col>
      <xdr:colOff>290763</xdr:colOff>
      <xdr:row>93</xdr:row>
      <xdr:rowOff>70185</xdr:rowOff>
    </xdr:from>
    <xdr:to>
      <xdr:col>2</xdr:col>
      <xdr:colOff>912394</xdr:colOff>
      <xdr:row>93</xdr:row>
      <xdr:rowOff>391027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14963" y="42923160"/>
          <a:ext cx="621631" cy="320842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370975</xdr:colOff>
      <xdr:row>94</xdr:row>
      <xdr:rowOff>50131</xdr:rowOff>
    </xdr:from>
    <xdr:to>
      <xdr:col>2</xdr:col>
      <xdr:colOff>718895</xdr:colOff>
      <xdr:row>94</xdr:row>
      <xdr:rowOff>405958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95175" y="43369831"/>
          <a:ext cx="347920" cy="355827"/>
        </a:xfrm>
        <a:prstGeom prst="rect">
          <a:avLst/>
        </a:prstGeom>
      </xdr:spPr>
    </xdr:pic>
    <xdr:clientData/>
  </xdr:twoCellAnchor>
  <xdr:twoCellAnchor editAs="oneCell">
    <xdr:from>
      <xdr:col>2</xdr:col>
      <xdr:colOff>330868</xdr:colOff>
      <xdr:row>95</xdr:row>
      <xdr:rowOff>73640</xdr:rowOff>
    </xdr:from>
    <xdr:to>
      <xdr:col>2</xdr:col>
      <xdr:colOff>828571</xdr:colOff>
      <xdr:row>95</xdr:row>
      <xdr:rowOff>365397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55068" y="43860065"/>
          <a:ext cx="497703" cy="291757"/>
        </a:xfrm>
        <a:prstGeom prst="rect">
          <a:avLst/>
        </a:prstGeom>
      </xdr:spPr>
    </xdr:pic>
    <xdr:clientData/>
  </xdr:twoCellAnchor>
  <xdr:twoCellAnchor editAs="oneCell">
    <xdr:from>
      <xdr:col>2</xdr:col>
      <xdr:colOff>260684</xdr:colOff>
      <xdr:row>96</xdr:row>
      <xdr:rowOff>90237</xdr:rowOff>
    </xdr:from>
    <xdr:to>
      <xdr:col>2</xdr:col>
      <xdr:colOff>982579</xdr:colOff>
      <xdr:row>96</xdr:row>
      <xdr:rowOff>367889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84884" y="44343387"/>
          <a:ext cx="721895" cy="277652"/>
        </a:xfrm>
        <a:prstGeom prst="rect">
          <a:avLst/>
        </a:prstGeom>
      </xdr:spPr>
    </xdr:pic>
    <xdr:clientData/>
  </xdr:twoCellAnchor>
  <xdr:twoCellAnchor editAs="oneCell">
    <xdr:from>
      <xdr:col>2</xdr:col>
      <xdr:colOff>360948</xdr:colOff>
      <xdr:row>97</xdr:row>
      <xdr:rowOff>40106</xdr:rowOff>
    </xdr:from>
    <xdr:to>
      <xdr:col>2</xdr:col>
      <xdr:colOff>822158</xdr:colOff>
      <xdr:row>97</xdr:row>
      <xdr:rowOff>388189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485148" y="44759981"/>
          <a:ext cx="461210" cy="348083"/>
        </a:xfrm>
        <a:prstGeom prst="rect">
          <a:avLst/>
        </a:prstGeom>
      </xdr:spPr>
    </xdr:pic>
    <xdr:clientData/>
  </xdr:twoCellAnchor>
  <xdr:twoCellAnchor editAs="oneCell">
    <xdr:from>
      <xdr:col>2</xdr:col>
      <xdr:colOff>471236</xdr:colOff>
      <xdr:row>98</xdr:row>
      <xdr:rowOff>110289</xdr:rowOff>
    </xdr:from>
    <xdr:to>
      <xdr:col>2</xdr:col>
      <xdr:colOff>753979</xdr:colOff>
      <xdr:row>98</xdr:row>
      <xdr:rowOff>381000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595436" y="45296889"/>
          <a:ext cx="282743" cy="270711"/>
        </a:xfrm>
        <a:prstGeom prst="rect">
          <a:avLst/>
        </a:prstGeom>
      </xdr:spPr>
    </xdr:pic>
    <xdr:clientData/>
  </xdr:twoCellAnchor>
  <xdr:twoCellAnchor editAs="oneCell">
    <xdr:from>
      <xdr:col>2</xdr:col>
      <xdr:colOff>491290</xdr:colOff>
      <xdr:row>99</xdr:row>
      <xdr:rowOff>100263</xdr:rowOff>
    </xdr:from>
    <xdr:to>
      <xdr:col>2</xdr:col>
      <xdr:colOff>740344</xdr:colOff>
      <xdr:row>99</xdr:row>
      <xdr:rowOff>370974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15490" y="45753588"/>
          <a:ext cx="249054" cy="270711"/>
        </a:xfrm>
        <a:prstGeom prst="rect">
          <a:avLst/>
        </a:prstGeom>
      </xdr:spPr>
    </xdr:pic>
    <xdr:clientData/>
  </xdr:twoCellAnchor>
  <xdr:twoCellAnchor editAs="oneCell">
    <xdr:from>
      <xdr:col>2</xdr:col>
      <xdr:colOff>170447</xdr:colOff>
      <xdr:row>101</xdr:row>
      <xdr:rowOff>80210</xdr:rowOff>
    </xdr:from>
    <xdr:to>
      <xdr:col>2</xdr:col>
      <xdr:colOff>1082842</xdr:colOff>
      <xdr:row>101</xdr:row>
      <xdr:rowOff>314073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294647" y="46324085"/>
          <a:ext cx="912395" cy="233863"/>
        </a:xfrm>
        <a:prstGeom prst="rect">
          <a:avLst/>
        </a:prstGeom>
      </xdr:spPr>
    </xdr:pic>
    <xdr:clientData/>
  </xdr:twoCellAnchor>
  <xdr:twoCellAnchor editAs="oneCell">
    <xdr:from>
      <xdr:col>2</xdr:col>
      <xdr:colOff>180473</xdr:colOff>
      <xdr:row>102</xdr:row>
      <xdr:rowOff>170449</xdr:rowOff>
    </xdr:from>
    <xdr:to>
      <xdr:col>2</xdr:col>
      <xdr:colOff>1075384</xdr:colOff>
      <xdr:row>102</xdr:row>
      <xdr:rowOff>280737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04673" y="46881049"/>
          <a:ext cx="894911" cy="110288"/>
        </a:xfrm>
        <a:prstGeom prst="rect">
          <a:avLst/>
        </a:prstGeom>
      </xdr:spPr>
    </xdr:pic>
    <xdr:clientData/>
  </xdr:twoCellAnchor>
  <xdr:twoCellAnchor editAs="oneCell">
    <xdr:from>
      <xdr:col>2</xdr:col>
      <xdr:colOff>120316</xdr:colOff>
      <xdr:row>103</xdr:row>
      <xdr:rowOff>180474</xdr:rowOff>
    </xdr:from>
    <xdr:to>
      <xdr:col>2</xdr:col>
      <xdr:colOff>1112921</xdr:colOff>
      <xdr:row>103</xdr:row>
      <xdr:rowOff>332882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244516" y="47357799"/>
          <a:ext cx="992605" cy="152408"/>
        </a:xfrm>
        <a:prstGeom prst="rect">
          <a:avLst/>
        </a:prstGeom>
      </xdr:spPr>
    </xdr:pic>
    <xdr:clientData/>
  </xdr:twoCellAnchor>
  <xdr:twoCellAnchor editAs="oneCell">
    <xdr:from>
      <xdr:col>2</xdr:col>
      <xdr:colOff>60159</xdr:colOff>
      <xdr:row>104</xdr:row>
      <xdr:rowOff>160422</xdr:rowOff>
    </xdr:from>
    <xdr:to>
      <xdr:col>2</xdr:col>
      <xdr:colOff>1082847</xdr:colOff>
      <xdr:row>104</xdr:row>
      <xdr:rowOff>330870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184359" y="47804472"/>
          <a:ext cx="1022688" cy="170448"/>
        </a:xfrm>
        <a:prstGeom prst="rect">
          <a:avLst/>
        </a:prstGeom>
      </xdr:spPr>
    </xdr:pic>
    <xdr:clientData/>
  </xdr:twoCellAnchor>
  <xdr:twoCellAnchor editAs="oneCell">
    <xdr:from>
      <xdr:col>2</xdr:col>
      <xdr:colOff>60158</xdr:colOff>
      <xdr:row>105</xdr:row>
      <xdr:rowOff>180475</xdr:rowOff>
    </xdr:from>
    <xdr:to>
      <xdr:col>2</xdr:col>
      <xdr:colOff>1109163</xdr:colOff>
      <xdr:row>105</xdr:row>
      <xdr:rowOff>360949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184358" y="48291250"/>
          <a:ext cx="1049005" cy="180474"/>
        </a:xfrm>
        <a:prstGeom prst="rect">
          <a:avLst/>
        </a:prstGeom>
      </xdr:spPr>
    </xdr:pic>
    <xdr:clientData/>
  </xdr:twoCellAnchor>
  <xdr:twoCellAnchor editAs="oneCell">
    <xdr:from>
      <xdr:col>2</xdr:col>
      <xdr:colOff>40105</xdr:colOff>
      <xdr:row>106</xdr:row>
      <xdr:rowOff>200528</xdr:rowOff>
    </xdr:from>
    <xdr:to>
      <xdr:col>2</xdr:col>
      <xdr:colOff>1143000</xdr:colOff>
      <xdr:row>106</xdr:row>
      <xdr:rowOff>346268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64305" y="48778028"/>
          <a:ext cx="1102895" cy="145740"/>
        </a:xfrm>
        <a:prstGeom prst="rect">
          <a:avLst/>
        </a:prstGeom>
      </xdr:spPr>
    </xdr:pic>
    <xdr:clientData/>
  </xdr:twoCellAnchor>
  <xdr:twoCellAnchor editAs="oneCell">
    <xdr:from>
      <xdr:col>2</xdr:col>
      <xdr:colOff>30080</xdr:colOff>
      <xdr:row>107</xdr:row>
      <xdr:rowOff>160421</xdr:rowOff>
    </xdr:from>
    <xdr:to>
      <xdr:col>2</xdr:col>
      <xdr:colOff>1106994</xdr:colOff>
      <xdr:row>107</xdr:row>
      <xdr:rowOff>330868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154280" y="49204646"/>
          <a:ext cx="1076914" cy="170447"/>
        </a:xfrm>
        <a:prstGeom prst="rect">
          <a:avLst/>
        </a:prstGeom>
      </xdr:spPr>
    </xdr:pic>
    <xdr:clientData/>
  </xdr:twoCellAnchor>
  <xdr:twoCellAnchor editAs="oneCell">
    <xdr:from>
      <xdr:col>2</xdr:col>
      <xdr:colOff>110290</xdr:colOff>
      <xdr:row>108</xdr:row>
      <xdr:rowOff>40105</xdr:rowOff>
    </xdr:from>
    <xdr:to>
      <xdr:col>2</xdr:col>
      <xdr:colOff>1093139</xdr:colOff>
      <xdr:row>108</xdr:row>
      <xdr:rowOff>300789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34490" y="49551055"/>
          <a:ext cx="982849" cy="260684"/>
        </a:xfrm>
        <a:prstGeom prst="rect">
          <a:avLst/>
        </a:prstGeom>
      </xdr:spPr>
    </xdr:pic>
    <xdr:clientData/>
  </xdr:twoCellAnchor>
  <xdr:twoCellAnchor editAs="oneCell">
    <xdr:from>
      <xdr:col>2</xdr:col>
      <xdr:colOff>461210</xdr:colOff>
      <xdr:row>109</xdr:row>
      <xdr:rowOff>70186</xdr:rowOff>
    </xdr:from>
    <xdr:to>
      <xdr:col>2</xdr:col>
      <xdr:colOff>782052</xdr:colOff>
      <xdr:row>109</xdr:row>
      <xdr:rowOff>427412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585410" y="50047861"/>
          <a:ext cx="320842" cy="357226"/>
        </a:xfrm>
        <a:prstGeom prst="rect">
          <a:avLst/>
        </a:prstGeom>
      </xdr:spPr>
    </xdr:pic>
    <xdr:clientData/>
  </xdr:twoCellAnchor>
  <xdr:twoCellAnchor editAs="oneCell">
    <xdr:from>
      <xdr:col>2</xdr:col>
      <xdr:colOff>431131</xdr:colOff>
      <xdr:row>110</xdr:row>
      <xdr:rowOff>80211</xdr:rowOff>
    </xdr:from>
    <xdr:to>
      <xdr:col>2</xdr:col>
      <xdr:colOff>818815</xdr:colOff>
      <xdr:row>110</xdr:row>
      <xdr:rowOff>370974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555331" y="50524611"/>
          <a:ext cx="387684" cy="290763"/>
        </a:xfrm>
        <a:prstGeom prst="rect">
          <a:avLst/>
        </a:prstGeom>
      </xdr:spPr>
    </xdr:pic>
    <xdr:clientData/>
  </xdr:twoCellAnchor>
  <xdr:twoCellAnchor editAs="oneCell">
    <xdr:from>
      <xdr:col>2</xdr:col>
      <xdr:colOff>441156</xdr:colOff>
      <xdr:row>111</xdr:row>
      <xdr:rowOff>80212</xdr:rowOff>
    </xdr:from>
    <xdr:to>
      <xdr:col>2</xdr:col>
      <xdr:colOff>706291</xdr:colOff>
      <xdr:row>111</xdr:row>
      <xdr:rowOff>335319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565356" y="50991337"/>
          <a:ext cx="265135" cy="255107"/>
        </a:xfrm>
        <a:prstGeom prst="rect">
          <a:avLst/>
        </a:prstGeom>
      </xdr:spPr>
    </xdr:pic>
    <xdr:clientData/>
  </xdr:twoCellAnchor>
  <xdr:twoCellAnchor editAs="oneCell">
    <xdr:from>
      <xdr:col>2</xdr:col>
      <xdr:colOff>300789</xdr:colOff>
      <xdr:row>113</xdr:row>
      <xdr:rowOff>20053</xdr:rowOff>
    </xdr:from>
    <xdr:to>
      <xdr:col>2</xdr:col>
      <xdr:colOff>822157</xdr:colOff>
      <xdr:row>113</xdr:row>
      <xdr:rowOff>430720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24989" y="51864628"/>
          <a:ext cx="521368" cy="410667"/>
        </a:xfrm>
        <a:prstGeom prst="rect">
          <a:avLst/>
        </a:prstGeom>
      </xdr:spPr>
    </xdr:pic>
    <xdr:clientData/>
  </xdr:twoCellAnchor>
  <xdr:twoCellAnchor editAs="oneCell">
    <xdr:from>
      <xdr:col>2</xdr:col>
      <xdr:colOff>391026</xdr:colOff>
      <xdr:row>114</xdr:row>
      <xdr:rowOff>60158</xdr:rowOff>
    </xdr:from>
    <xdr:to>
      <xdr:col>2</xdr:col>
      <xdr:colOff>802561</xdr:colOff>
      <xdr:row>114</xdr:row>
      <xdr:rowOff>411079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515226" y="52371458"/>
          <a:ext cx="411535" cy="350921"/>
        </a:xfrm>
        <a:prstGeom prst="rect">
          <a:avLst/>
        </a:prstGeom>
      </xdr:spPr>
    </xdr:pic>
    <xdr:clientData/>
  </xdr:twoCellAnchor>
  <xdr:twoCellAnchor editAs="oneCell">
    <xdr:from>
      <xdr:col>2</xdr:col>
      <xdr:colOff>421104</xdr:colOff>
      <xdr:row>115</xdr:row>
      <xdr:rowOff>40887</xdr:rowOff>
    </xdr:from>
    <xdr:to>
      <xdr:col>2</xdr:col>
      <xdr:colOff>793875</xdr:colOff>
      <xdr:row>115</xdr:row>
      <xdr:rowOff>431131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545304" y="52818912"/>
          <a:ext cx="372771" cy="390244"/>
        </a:xfrm>
        <a:prstGeom prst="rect">
          <a:avLst/>
        </a:prstGeom>
      </xdr:spPr>
    </xdr:pic>
    <xdr:clientData/>
  </xdr:twoCellAnchor>
  <xdr:twoCellAnchor editAs="oneCell">
    <xdr:from>
      <xdr:col>2</xdr:col>
      <xdr:colOff>240632</xdr:colOff>
      <xdr:row>116</xdr:row>
      <xdr:rowOff>160421</xdr:rowOff>
    </xdr:from>
    <xdr:to>
      <xdr:col>2</xdr:col>
      <xdr:colOff>942474</xdr:colOff>
      <xdr:row>116</xdr:row>
      <xdr:rowOff>320573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64832" y="53405171"/>
          <a:ext cx="701842" cy="160152"/>
        </a:xfrm>
        <a:prstGeom prst="rect">
          <a:avLst/>
        </a:prstGeom>
      </xdr:spPr>
    </xdr:pic>
    <xdr:clientData/>
  </xdr:twoCellAnchor>
  <xdr:twoCellAnchor editAs="oneCell">
    <xdr:from>
      <xdr:col>2</xdr:col>
      <xdr:colOff>310816</xdr:colOff>
      <xdr:row>117</xdr:row>
      <xdr:rowOff>120316</xdr:rowOff>
    </xdr:from>
    <xdr:to>
      <xdr:col>2</xdr:col>
      <xdr:colOff>852237</xdr:colOff>
      <xdr:row>117</xdr:row>
      <xdr:rowOff>382823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35016" y="53831791"/>
          <a:ext cx="541421" cy="262507"/>
        </a:xfrm>
        <a:prstGeom prst="rect">
          <a:avLst/>
        </a:prstGeom>
      </xdr:spPr>
    </xdr:pic>
    <xdr:clientData/>
  </xdr:twoCellAnchor>
  <xdr:twoCellAnchor editAs="oneCell">
    <xdr:from>
      <xdr:col>2</xdr:col>
      <xdr:colOff>330868</xdr:colOff>
      <xdr:row>118</xdr:row>
      <xdr:rowOff>60159</xdr:rowOff>
    </xdr:from>
    <xdr:to>
      <xdr:col>2</xdr:col>
      <xdr:colOff>772026</xdr:colOff>
      <xdr:row>118</xdr:row>
      <xdr:rowOff>364621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455068" y="54238359"/>
          <a:ext cx="441158" cy="304462"/>
        </a:xfrm>
        <a:prstGeom prst="rect">
          <a:avLst/>
        </a:prstGeom>
      </xdr:spPr>
    </xdr:pic>
    <xdr:clientData/>
  </xdr:twoCellAnchor>
  <xdr:twoCellAnchor editAs="oneCell">
    <xdr:from>
      <xdr:col>2</xdr:col>
      <xdr:colOff>370973</xdr:colOff>
      <xdr:row>119</xdr:row>
      <xdr:rowOff>80210</xdr:rowOff>
    </xdr:from>
    <xdr:to>
      <xdr:col>2</xdr:col>
      <xdr:colOff>902368</xdr:colOff>
      <xdr:row>119</xdr:row>
      <xdr:rowOff>381473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95173" y="54725135"/>
          <a:ext cx="531395" cy="301263"/>
        </a:xfrm>
        <a:prstGeom prst="rect">
          <a:avLst/>
        </a:prstGeom>
      </xdr:spPr>
    </xdr:pic>
    <xdr:clientData/>
  </xdr:twoCellAnchor>
  <xdr:twoCellAnchor editAs="oneCell">
    <xdr:from>
      <xdr:col>2</xdr:col>
      <xdr:colOff>411079</xdr:colOff>
      <xdr:row>120</xdr:row>
      <xdr:rowOff>160421</xdr:rowOff>
    </xdr:from>
    <xdr:to>
      <xdr:col>2</xdr:col>
      <xdr:colOff>740515</xdr:colOff>
      <xdr:row>120</xdr:row>
      <xdr:rowOff>391026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35279" y="55272071"/>
          <a:ext cx="329436" cy="23060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121</xdr:row>
      <xdr:rowOff>60158</xdr:rowOff>
    </xdr:from>
    <xdr:to>
      <xdr:col>2</xdr:col>
      <xdr:colOff>671763</xdr:colOff>
      <xdr:row>121</xdr:row>
      <xdr:rowOff>389690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05200" y="55638533"/>
          <a:ext cx="290763" cy="329532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4</xdr:row>
      <xdr:rowOff>7976</xdr:rowOff>
    </xdr:from>
    <xdr:to>
      <xdr:col>2</xdr:col>
      <xdr:colOff>864519</xdr:colOff>
      <xdr:row>4</xdr:row>
      <xdr:rowOff>457199</xdr:rowOff>
    </xdr:to>
    <xdr:pic>
      <xdr:nvPicPr>
        <xdr:cNvPr id="69" name="Picture 56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2122526"/>
          <a:ext cx="569244" cy="449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390525</xdr:colOff>
      <xdr:row>5</xdr:row>
      <xdr:rowOff>66675</xdr:rowOff>
    </xdr:from>
    <xdr:to>
      <xdr:col>2</xdr:col>
      <xdr:colOff>800100</xdr:colOff>
      <xdr:row>5</xdr:row>
      <xdr:rowOff>438559</xdr:rowOff>
    </xdr:to>
    <xdr:pic>
      <xdr:nvPicPr>
        <xdr:cNvPr id="70" name="Picture 63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5" y="2638425"/>
          <a:ext cx="409575" cy="371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6</xdr:row>
      <xdr:rowOff>47625</xdr:rowOff>
    </xdr:from>
    <xdr:to>
      <xdr:col>2</xdr:col>
      <xdr:colOff>723901</xdr:colOff>
      <xdr:row>6</xdr:row>
      <xdr:rowOff>451870</xdr:rowOff>
    </xdr:to>
    <xdr:pic>
      <xdr:nvPicPr>
        <xdr:cNvPr id="71" name="Picture 6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1" y="3076575"/>
          <a:ext cx="438150" cy="404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381001</xdr:colOff>
      <xdr:row>7</xdr:row>
      <xdr:rowOff>85726</xdr:rowOff>
    </xdr:from>
    <xdr:to>
      <xdr:col>2</xdr:col>
      <xdr:colOff>792973</xdr:colOff>
      <xdr:row>7</xdr:row>
      <xdr:rowOff>428625</xdr:rowOff>
    </xdr:to>
    <xdr:pic>
      <xdr:nvPicPr>
        <xdr:cNvPr id="72" name="Picture 64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1" y="3571876"/>
          <a:ext cx="411972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8</xdr:row>
      <xdr:rowOff>9526</xdr:rowOff>
    </xdr:from>
    <xdr:to>
      <xdr:col>2</xdr:col>
      <xdr:colOff>810334</xdr:colOff>
      <xdr:row>8</xdr:row>
      <xdr:rowOff>438150</xdr:rowOff>
    </xdr:to>
    <xdr:pic>
      <xdr:nvPicPr>
        <xdr:cNvPr id="73" name="Picture 66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3952876"/>
          <a:ext cx="457909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371475</xdr:colOff>
      <xdr:row>9</xdr:row>
      <xdr:rowOff>38101</xdr:rowOff>
    </xdr:from>
    <xdr:to>
      <xdr:col>2</xdr:col>
      <xdr:colOff>800100</xdr:colOff>
      <xdr:row>9</xdr:row>
      <xdr:rowOff>438151</xdr:rowOff>
    </xdr:to>
    <xdr:pic>
      <xdr:nvPicPr>
        <xdr:cNvPr id="74" name="Picture 67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4438651"/>
          <a:ext cx="4286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295276</xdr:colOff>
      <xdr:row>10</xdr:row>
      <xdr:rowOff>19050</xdr:rowOff>
    </xdr:from>
    <xdr:to>
      <xdr:col>2</xdr:col>
      <xdr:colOff>760060</xdr:colOff>
      <xdr:row>10</xdr:row>
      <xdr:rowOff>428625</xdr:rowOff>
    </xdr:to>
    <xdr:pic>
      <xdr:nvPicPr>
        <xdr:cNvPr id="75" name="Picture 69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6" y="4876800"/>
          <a:ext cx="46478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323851</xdr:colOff>
      <xdr:row>11</xdr:row>
      <xdr:rowOff>47625</xdr:rowOff>
    </xdr:from>
    <xdr:to>
      <xdr:col>2</xdr:col>
      <xdr:colOff>737199</xdr:colOff>
      <xdr:row>11</xdr:row>
      <xdr:rowOff>438150</xdr:rowOff>
    </xdr:to>
    <xdr:pic>
      <xdr:nvPicPr>
        <xdr:cNvPr id="76" name="Picture 7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1" y="5362575"/>
          <a:ext cx="41334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371475</xdr:colOff>
      <xdr:row>26</xdr:row>
      <xdr:rowOff>66675</xdr:rowOff>
    </xdr:from>
    <xdr:to>
      <xdr:col>2</xdr:col>
      <xdr:colOff>895350</xdr:colOff>
      <xdr:row>26</xdr:row>
      <xdr:rowOff>455564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12239625"/>
          <a:ext cx="523875" cy="3888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323851</xdr:colOff>
      <xdr:row>12</xdr:row>
      <xdr:rowOff>9526</xdr:rowOff>
    </xdr:from>
    <xdr:to>
      <xdr:col>2</xdr:col>
      <xdr:colOff>800100</xdr:colOff>
      <xdr:row>12</xdr:row>
      <xdr:rowOff>452741</xdr:rowOff>
    </xdr:to>
    <xdr:pic>
      <xdr:nvPicPr>
        <xdr:cNvPr id="78" name="Picture 72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1" y="5781676"/>
          <a:ext cx="476249" cy="443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13</xdr:row>
      <xdr:rowOff>57150</xdr:rowOff>
    </xdr:from>
    <xdr:to>
      <xdr:col>2</xdr:col>
      <xdr:colOff>802318</xdr:colOff>
      <xdr:row>13</xdr:row>
      <xdr:rowOff>419100</xdr:rowOff>
    </xdr:to>
    <xdr:pic>
      <xdr:nvPicPr>
        <xdr:cNvPr id="79" name="Picture 73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6286500"/>
          <a:ext cx="48799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257175</xdr:colOff>
      <xdr:row>14</xdr:row>
      <xdr:rowOff>76200</xdr:rowOff>
    </xdr:from>
    <xdr:to>
      <xdr:col>2</xdr:col>
      <xdr:colOff>779463</xdr:colOff>
      <xdr:row>14</xdr:row>
      <xdr:rowOff>400050</xdr:rowOff>
    </xdr:to>
    <xdr:pic>
      <xdr:nvPicPr>
        <xdr:cNvPr id="80" name="Picture 74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6762750"/>
          <a:ext cx="522288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371475</xdr:colOff>
      <xdr:row>15</xdr:row>
      <xdr:rowOff>47625</xdr:rowOff>
    </xdr:from>
    <xdr:to>
      <xdr:col>2</xdr:col>
      <xdr:colOff>766586</xdr:colOff>
      <xdr:row>15</xdr:row>
      <xdr:rowOff>428625</xdr:rowOff>
    </xdr:to>
    <xdr:pic>
      <xdr:nvPicPr>
        <xdr:cNvPr id="81" name="Picture 76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191375"/>
          <a:ext cx="395111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238125</xdr:colOff>
      <xdr:row>16</xdr:row>
      <xdr:rowOff>114301</xdr:rowOff>
    </xdr:from>
    <xdr:to>
      <xdr:col>2</xdr:col>
      <xdr:colOff>723900</xdr:colOff>
      <xdr:row>16</xdr:row>
      <xdr:rowOff>438150</xdr:rowOff>
    </xdr:to>
    <xdr:pic>
      <xdr:nvPicPr>
        <xdr:cNvPr id="82" name="Picture 77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7715251"/>
          <a:ext cx="485775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285751</xdr:colOff>
      <xdr:row>17</xdr:row>
      <xdr:rowOff>47625</xdr:rowOff>
    </xdr:from>
    <xdr:to>
      <xdr:col>2</xdr:col>
      <xdr:colOff>731521</xdr:colOff>
      <xdr:row>17</xdr:row>
      <xdr:rowOff>419100</xdr:rowOff>
    </xdr:to>
    <xdr:pic>
      <xdr:nvPicPr>
        <xdr:cNvPr id="83" name="Picture 78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1" y="8105775"/>
          <a:ext cx="4457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276225</xdr:colOff>
      <xdr:row>18</xdr:row>
      <xdr:rowOff>28575</xdr:rowOff>
    </xdr:from>
    <xdr:to>
      <xdr:col>2</xdr:col>
      <xdr:colOff>742950</xdr:colOff>
      <xdr:row>18</xdr:row>
      <xdr:rowOff>401955</xdr:rowOff>
    </xdr:to>
    <xdr:pic>
      <xdr:nvPicPr>
        <xdr:cNvPr id="84" name="Picture 79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8543925"/>
          <a:ext cx="466725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19</xdr:row>
      <xdr:rowOff>85725</xdr:rowOff>
    </xdr:from>
    <xdr:to>
      <xdr:col>2</xdr:col>
      <xdr:colOff>733425</xdr:colOff>
      <xdr:row>19</xdr:row>
      <xdr:rowOff>411200</xdr:rowOff>
    </xdr:to>
    <xdr:pic>
      <xdr:nvPicPr>
        <xdr:cNvPr id="85" name="Picture 80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9058275"/>
          <a:ext cx="352425" cy="3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20</xdr:row>
      <xdr:rowOff>9525</xdr:rowOff>
    </xdr:from>
    <xdr:to>
      <xdr:col>2</xdr:col>
      <xdr:colOff>800100</xdr:colOff>
      <xdr:row>20</xdr:row>
      <xdr:rowOff>430530</xdr:rowOff>
    </xdr:to>
    <xdr:pic>
      <xdr:nvPicPr>
        <xdr:cNvPr id="86" name="Picture 5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9439275"/>
          <a:ext cx="485775" cy="42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390526</xdr:colOff>
      <xdr:row>21</xdr:row>
      <xdr:rowOff>47625</xdr:rowOff>
    </xdr:from>
    <xdr:to>
      <xdr:col>2</xdr:col>
      <xdr:colOff>866776</xdr:colOff>
      <xdr:row>21</xdr:row>
      <xdr:rowOff>419100</xdr:rowOff>
    </xdr:to>
    <xdr:pic>
      <xdr:nvPicPr>
        <xdr:cNvPr id="87" name="Picture 53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4726" y="9934575"/>
          <a:ext cx="4762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22</xdr:row>
      <xdr:rowOff>38101</xdr:rowOff>
    </xdr:from>
    <xdr:to>
      <xdr:col>2</xdr:col>
      <xdr:colOff>733425</xdr:colOff>
      <xdr:row>22</xdr:row>
      <xdr:rowOff>355062</xdr:rowOff>
    </xdr:to>
    <xdr:pic>
      <xdr:nvPicPr>
        <xdr:cNvPr id="88" name="Picture 8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0382251"/>
          <a:ext cx="352425" cy="316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314325</xdr:colOff>
      <xdr:row>23</xdr:row>
      <xdr:rowOff>95250</xdr:rowOff>
    </xdr:from>
    <xdr:to>
      <xdr:col>2</xdr:col>
      <xdr:colOff>790575</xdr:colOff>
      <xdr:row>23</xdr:row>
      <xdr:rowOff>400050</xdr:rowOff>
    </xdr:to>
    <xdr:pic>
      <xdr:nvPicPr>
        <xdr:cNvPr id="89" name="Picture 55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0896600"/>
          <a:ext cx="4762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400050</xdr:colOff>
      <xdr:row>25</xdr:row>
      <xdr:rowOff>47625</xdr:rowOff>
    </xdr:from>
    <xdr:to>
      <xdr:col>2</xdr:col>
      <xdr:colOff>847725</xdr:colOff>
      <xdr:row>25</xdr:row>
      <xdr:rowOff>379522</xdr:rowOff>
    </xdr:to>
    <xdr:pic>
      <xdr:nvPicPr>
        <xdr:cNvPr id="90" name="Picture 82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0" y="11763375"/>
          <a:ext cx="447675" cy="331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24</xdr:row>
      <xdr:rowOff>104775</xdr:rowOff>
    </xdr:from>
    <xdr:to>
      <xdr:col>2</xdr:col>
      <xdr:colOff>736969</xdr:colOff>
      <xdr:row>24</xdr:row>
      <xdr:rowOff>361950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1363325"/>
          <a:ext cx="25119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381001</xdr:colOff>
      <xdr:row>27</xdr:row>
      <xdr:rowOff>123825</xdr:rowOff>
    </xdr:from>
    <xdr:to>
      <xdr:col>2</xdr:col>
      <xdr:colOff>802681</xdr:colOff>
      <xdr:row>27</xdr:row>
      <xdr:rowOff>361950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1" y="12753975"/>
          <a:ext cx="42168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285749</xdr:colOff>
      <xdr:row>28</xdr:row>
      <xdr:rowOff>95904</xdr:rowOff>
    </xdr:from>
    <xdr:to>
      <xdr:col>2</xdr:col>
      <xdr:colOff>836516</xdr:colOff>
      <xdr:row>28</xdr:row>
      <xdr:rowOff>352425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409949" y="13183254"/>
          <a:ext cx="550767" cy="25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428626</xdr:colOff>
      <xdr:row>29</xdr:row>
      <xdr:rowOff>104775</xdr:rowOff>
    </xdr:from>
    <xdr:to>
      <xdr:col>2</xdr:col>
      <xdr:colOff>733426</xdr:colOff>
      <xdr:row>29</xdr:row>
      <xdr:rowOff>381000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6" y="136493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476250</xdr:colOff>
      <xdr:row>33</xdr:row>
      <xdr:rowOff>114300</xdr:rowOff>
    </xdr:from>
    <xdr:to>
      <xdr:col>2</xdr:col>
      <xdr:colOff>752475</xdr:colOff>
      <xdr:row>33</xdr:row>
      <xdr:rowOff>341779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15487650"/>
          <a:ext cx="276225" cy="227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333375</xdr:colOff>
      <xdr:row>31</xdr:row>
      <xdr:rowOff>76200</xdr:rowOff>
    </xdr:from>
    <xdr:to>
      <xdr:col>2</xdr:col>
      <xdr:colOff>800100</xdr:colOff>
      <xdr:row>31</xdr:row>
      <xdr:rowOff>364014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14535150"/>
          <a:ext cx="466725" cy="287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276226</xdr:colOff>
      <xdr:row>32</xdr:row>
      <xdr:rowOff>114300</xdr:rowOff>
    </xdr:from>
    <xdr:to>
      <xdr:col>2</xdr:col>
      <xdr:colOff>931070</xdr:colOff>
      <xdr:row>32</xdr:row>
      <xdr:rowOff>381000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6" y="15030450"/>
          <a:ext cx="654844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257176</xdr:colOff>
      <xdr:row>36</xdr:row>
      <xdr:rowOff>123825</xdr:rowOff>
    </xdr:from>
    <xdr:to>
      <xdr:col>2</xdr:col>
      <xdr:colOff>981075</xdr:colOff>
      <xdr:row>36</xdr:row>
      <xdr:rowOff>361018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16868775"/>
          <a:ext cx="723899" cy="237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247651</xdr:colOff>
      <xdr:row>38</xdr:row>
      <xdr:rowOff>76201</xdr:rowOff>
    </xdr:from>
    <xdr:to>
      <xdr:col>2</xdr:col>
      <xdr:colOff>991241</xdr:colOff>
      <xdr:row>38</xdr:row>
      <xdr:rowOff>419100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1" y="17735551"/>
          <a:ext cx="743590" cy="34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39</xdr:row>
      <xdr:rowOff>238125</xdr:rowOff>
    </xdr:from>
    <xdr:to>
      <xdr:col>2</xdr:col>
      <xdr:colOff>971550</xdr:colOff>
      <xdr:row>39</xdr:row>
      <xdr:rowOff>310530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6125" y="18354675"/>
          <a:ext cx="809625" cy="724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314325</xdr:colOff>
      <xdr:row>40</xdr:row>
      <xdr:rowOff>123826</xdr:rowOff>
    </xdr:from>
    <xdr:to>
      <xdr:col>2</xdr:col>
      <xdr:colOff>868796</xdr:colOff>
      <xdr:row>40</xdr:row>
      <xdr:rowOff>342900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8697576"/>
          <a:ext cx="554471" cy="219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485775</xdr:colOff>
      <xdr:row>41</xdr:row>
      <xdr:rowOff>123826</xdr:rowOff>
    </xdr:from>
    <xdr:to>
      <xdr:col>2</xdr:col>
      <xdr:colOff>777741</xdr:colOff>
      <xdr:row>41</xdr:row>
      <xdr:rowOff>390526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19154776"/>
          <a:ext cx="291966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504826</xdr:colOff>
      <xdr:row>42</xdr:row>
      <xdr:rowOff>95251</xdr:rowOff>
    </xdr:from>
    <xdr:to>
      <xdr:col>2</xdr:col>
      <xdr:colOff>695326</xdr:colOff>
      <xdr:row>42</xdr:row>
      <xdr:rowOff>423089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6" y="19583401"/>
          <a:ext cx="190500" cy="32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295275</xdr:colOff>
      <xdr:row>43</xdr:row>
      <xdr:rowOff>133350</xdr:rowOff>
    </xdr:from>
    <xdr:to>
      <xdr:col>2</xdr:col>
      <xdr:colOff>1057275</xdr:colOff>
      <xdr:row>43</xdr:row>
      <xdr:rowOff>333375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20078700"/>
          <a:ext cx="762000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209550</xdr:colOff>
      <xdr:row>44</xdr:row>
      <xdr:rowOff>161925</xdr:rowOff>
    </xdr:from>
    <xdr:to>
      <xdr:col>2</xdr:col>
      <xdr:colOff>971550</xdr:colOff>
      <xdr:row>44</xdr:row>
      <xdr:rowOff>314325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0" y="20564475"/>
          <a:ext cx="7620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457201</xdr:colOff>
      <xdr:row>45</xdr:row>
      <xdr:rowOff>104775</xdr:rowOff>
    </xdr:from>
    <xdr:to>
      <xdr:col>2</xdr:col>
      <xdr:colOff>788267</xdr:colOff>
      <xdr:row>45</xdr:row>
      <xdr:rowOff>400050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1" y="20964525"/>
          <a:ext cx="331066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37</xdr:row>
      <xdr:rowOff>123825</xdr:rowOff>
    </xdr:from>
    <xdr:to>
      <xdr:col>2</xdr:col>
      <xdr:colOff>919024</xdr:colOff>
      <xdr:row>37</xdr:row>
      <xdr:rowOff>381000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17325975"/>
          <a:ext cx="61422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247650</xdr:colOff>
      <xdr:row>46</xdr:row>
      <xdr:rowOff>114301</xdr:rowOff>
    </xdr:from>
    <xdr:to>
      <xdr:col>2</xdr:col>
      <xdr:colOff>962025</xdr:colOff>
      <xdr:row>46</xdr:row>
      <xdr:rowOff>382982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21431251"/>
          <a:ext cx="714375" cy="268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409575</xdr:colOff>
      <xdr:row>48</xdr:row>
      <xdr:rowOff>114300</xdr:rowOff>
    </xdr:from>
    <xdr:to>
      <xdr:col>2</xdr:col>
      <xdr:colOff>828675</xdr:colOff>
      <xdr:row>48</xdr:row>
      <xdr:rowOff>419100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2345650"/>
          <a:ext cx="4191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352425</xdr:colOff>
      <xdr:row>47</xdr:row>
      <xdr:rowOff>104775</xdr:rowOff>
    </xdr:from>
    <xdr:to>
      <xdr:col>2</xdr:col>
      <xdr:colOff>719802</xdr:colOff>
      <xdr:row>47</xdr:row>
      <xdr:rowOff>400050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21878925"/>
          <a:ext cx="367377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363311</xdr:colOff>
      <xdr:row>5</xdr:row>
      <xdr:rowOff>54429</xdr:rowOff>
    </xdr:from>
    <xdr:ext cx="390343" cy="387926"/>
    <xdr:pic>
      <xdr:nvPicPr>
        <xdr:cNvPr id="2" name="Picture 56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461" y="2807154"/>
          <a:ext cx="390343" cy="387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390525</xdr:colOff>
      <xdr:row>6</xdr:row>
      <xdr:rowOff>66675</xdr:rowOff>
    </xdr:from>
    <xdr:ext cx="371475" cy="371884"/>
    <xdr:pic>
      <xdr:nvPicPr>
        <xdr:cNvPr id="3" name="Picture 63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3276600"/>
          <a:ext cx="371475" cy="371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7</xdr:row>
      <xdr:rowOff>47625</xdr:rowOff>
    </xdr:from>
    <xdr:ext cx="438150" cy="411173"/>
    <xdr:pic>
      <xdr:nvPicPr>
        <xdr:cNvPr id="4" name="Picture 6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3714750"/>
          <a:ext cx="438150" cy="411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312966</xdr:colOff>
      <xdr:row>8</xdr:row>
      <xdr:rowOff>44905</xdr:rowOff>
    </xdr:from>
    <xdr:ext cx="383397" cy="342899"/>
    <xdr:pic>
      <xdr:nvPicPr>
        <xdr:cNvPr id="5" name="Picture 64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8116" y="4169230"/>
          <a:ext cx="383397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352425</xdr:colOff>
      <xdr:row>9</xdr:row>
      <xdr:rowOff>9526</xdr:rowOff>
    </xdr:from>
    <xdr:ext cx="410284" cy="428624"/>
    <xdr:pic>
      <xdr:nvPicPr>
        <xdr:cNvPr id="6" name="Picture 66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4591051"/>
          <a:ext cx="410284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371475</xdr:colOff>
      <xdr:row>10</xdr:row>
      <xdr:rowOff>38101</xdr:rowOff>
    </xdr:from>
    <xdr:ext cx="390525" cy="400050"/>
    <xdr:pic>
      <xdr:nvPicPr>
        <xdr:cNvPr id="7" name="Picture 67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076826"/>
          <a:ext cx="3905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295276</xdr:colOff>
      <xdr:row>11</xdr:row>
      <xdr:rowOff>0</xdr:rowOff>
    </xdr:from>
    <xdr:ext cx="464784" cy="409575"/>
    <xdr:pic>
      <xdr:nvPicPr>
        <xdr:cNvPr id="8" name="Picture 69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6" y="5495925"/>
          <a:ext cx="46478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323850</xdr:colOff>
      <xdr:row>11</xdr:row>
      <xdr:rowOff>89038</xdr:rowOff>
    </xdr:from>
    <xdr:ext cx="413348" cy="390525"/>
    <xdr:pic>
      <xdr:nvPicPr>
        <xdr:cNvPr id="9" name="Picture 7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828" y="5486538"/>
          <a:ext cx="41334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26</xdr:row>
      <xdr:rowOff>57150</xdr:rowOff>
    </xdr:from>
    <xdr:ext cx="523875" cy="379364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12411075"/>
          <a:ext cx="523875" cy="379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323851</xdr:colOff>
      <xdr:row>12</xdr:row>
      <xdr:rowOff>9526</xdr:rowOff>
    </xdr:from>
    <xdr:ext cx="438149" cy="450142"/>
    <xdr:pic>
      <xdr:nvPicPr>
        <xdr:cNvPr id="11" name="Picture 72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5962651"/>
          <a:ext cx="438149" cy="450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13</xdr:row>
      <xdr:rowOff>57150</xdr:rowOff>
    </xdr:from>
    <xdr:ext cx="449893" cy="361950"/>
    <xdr:pic>
      <xdr:nvPicPr>
        <xdr:cNvPr id="12" name="Picture 73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6467475"/>
          <a:ext cx="44989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257175</xdr:colOff>
      <xdr:row>14</xdr:row>
      <xdr:rowOff>76200</xdr:rowOff>
    </xdr:from>
    <xdr:ext cx="503238" cy="323850"/>
    <xdr:pic>
      <xdr:nvPicPr>
        <xdr:cNvPr id="13" name="Picture 74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6943725"/>
          <a:ext cx="503238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248479</xdr:colOff>
      <xdr:row>15</xdr:row>
      <xdr:rowOff>19049</xdr:rowOff>
    </xdr:from>
    <xdr:ext cx="593587" cy="422689"/>
    <xdr:pic>
      <xdr:nvPicPr>
        <xdr:cNvPr id="14" name="Picture 7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4457" y="7238723"/>
          <a:ext cx="593587" cy="4226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238125</xdr:colOff>
      <xdr:row>16</xdr:row>
      <xdr:rowOff>45280</xdr:rowOff>
    </xdr:from>
    <xdr:ext cx="485775" cy="323849"/>
    <xdr:pic>
      <xdr:nvPicPr>
        <xdr:cNvPr id="15" name="Picture 77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4103" y="7720497"/>
          <a:ext cx="485775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17</xdr:row>
      <xdr:rowOff>6804</xdr:rowOff>
    </xdr:from>
    <xdr:ext cx="445770" cy="371475"/>
    <xdr:pic>
      <xdr:nvPicPr>
        <xdr:cNvPr id="16" name="Picture 7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8245929"/>
          <a:ext cx="4457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276225</xdr:colOff>
      <xdr:row>18</xdr:row>
      <xdr:rowOff>28575</xdr:rowOff>
    </xdr:from>
    <xdr:ext cx="466725" cy="373380"/>
    <xdr:pic>
      <xdr:nvPicPr>
        <xdr:cNvPr id="17" name="Picture 7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8724900"/>
          <a:ext cx="466725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19</xdr:row>
      <xdr:rowOff>85725</xdr:rowOff>
    </xdr:from>
    <xdr:ext cx="352425" cy="325475"/>
    <xdr:pic>
      <xdr:nvPicPr>
        <xdr:cNvPr id="18" name="Picture 8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9239250"/>
          <a:ext cx="352425" cy="3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20</xdr:row>
      <xdr:rowOff>9525</xdr:rowOff>
    </xdr:from>
    <xdr:ext cx="447675" cy="421005"/>
    <xdr:pic>
      <xdr:nvPicPr>
        <xdr:cNvPr id="19" name="Picture 55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9620250"/>
          <a:ext cx="447675" cy="42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390526</xdr:colOff>
      <xdr:row>21</xdr:row>
      <xdr:rowOff>47625</xdr:rowOff>
    </xdr:from>
    <xdr:ext cx="371475" cy="371475"/>
    <xdr:pic>
      <xdr:nvPicPr>
        <xdr:cNvPr id="20" name="Picture 5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6" y="101155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22</xdr:row>
      <xdr:rowOff>38101</xdr:rowOff>
    </xdr:from>
    <xdr:ext cx="352425" cy="316961"/>
    <xdr:pic>
      <xdr:nvPicPr>
        <xdr:cNvPr id="21" name="Picture 8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10563226"/>
          <a:ext cx="352425" cy="316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23</xdr:row>
      <xdr:rowOff>95250</xdr:rowOff>
    </xdr:from>
    <xdr:ext cx="447675" cy="304800"/>
    <xdr:pic>
      <xdr:nvPicPr>
        <xdr:cNvPr id="22" name="Picture 5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1077575"/>
          <a:ext cx="4476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400050</xdr:colOff>
      <xdr:row>25</xdr:row>
      <xdr:rowOff>47625</xdr:rowOff>
    </xdr:from>
    <xdr:ext cx="361950" cy="331897"/>
    <xdr:pic>
      <xdr:nvPicPr>
        <xdr:cNvPr id="23" name="Picture 82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44350"/>
          <a:ext cx="361950" cy="331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485775</xdr:colOff>
      <xdr:row>24</xdr:row>
      <xdr:rowOff>104775</xdr:rowOff>
    </xdr:from>
    <xdr:ext cx="251194" cy="25717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1544300"/>
          <a:ext cx="25119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333376</xdr:colOff>
      <xdr:row>27</xdr:row>
      <xdr:rowOff>123825</xdr:rowOff>
    </xdr:from>
    <xdr:ext cx="383580" cy="2381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6" y="12934950"/>
          <a:ext cx="38358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285749</xdr:colOff>
      <xdr:row>28</xdr:row>
      <xdr:rowOff>95904</xdr:rowOff>
    </xdr:from>
    <xdr:ext cx="474567" cy="256521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390899" y="13364229"/>
          <a:ext cx="474567" cy="25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470039</xdr:colOff>
      <xdr:row>29</xdr:row>
      <xdr:rowOff>104775</xdr:rowOff>
    </xdr:from>
    <xdr:ext cx="304800" cy="27622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4496" y="13702058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38</xdr:row>
      <xdr:rowOff>95251</xdr:rowOff>
    </xdr:from>
    <xdr:ext cx="422578" cy="304799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18735676"/>
          <a:ext cx="422578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314325</xdr:colOff>
      <xdr:row>39</xdr:row>
      <xdr:rowOff>114300</xdr:rowOff>
    </xdr:from>
    <xdr:ext cx="443865" cy="276890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9211925"/>
          <a:ext cx="443865" cy="27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30</xdr:row>
      <xdr:rowOff>123825</xdr:rowOff>
    </xdr:from>
    <xdr:ext cx="401411" cy="238125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14306550"/>
          <a:ext cx="40141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238125</xdr:colOff>
      <xdr:row>31</xdr:row>
      <xdr:rowOff>114301</xdr:rowOff>
    </xdr:from>
    <xdr:ext cx="504825" cy="299472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14754226"/>
          <a:ext cx="504825" cy="29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266700</xdr:colOff>
      <xdr:row>32</xdr:row>
      <xdr:rowOff>66675</xdr:rowOff>
    </xdr:from>
    <xdr:ext cx="457200" cy="33337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5163800"/>
          <a:ext cx="457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333374</xdr:colOff>
      <xdr:row>33</xdr:row>
      <xdr:rowOff>180975</xdr:rowOff>
    </xdr:from>
    <xdr:ext cx="238125" cy="178594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4" y="15735300"/>
          <a:ext cx="238125" cy="178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300790</xdr:colOff>
      <xdr:row>71</xdr:row>
      <xdr:rowOff>140369</xdr:rowOff>
    </xdr:from>
    <xdr:ext cx="464218" cy="179668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05940" y="40135844"/>
          <a:ext cx="464218" cy="179668"/>
        </a:xfrm>
        <a:prstGeom prst="rect">
          <a:avLst/>
        </a:prstGeom>
      </xdr:spPr>
    </xdr:pic>
    <xdr:clientData/>
  </xdr:oneCellAnchor>
  <xdr:oneCellAnchor>
    <xdr:from>
      <xdr:col>3</xdr:col>
      <xdr:colOff>250659</xdr:colOff>
      <xdr:row>72</xdr:row>
      <xdr:rowOff>180474</xdr:rowOff>
    </xdr:from>
    <xdr:ext cx="550880" cy="110289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55809" y="40642674"/>
          <a:ext cx="550880" cy="110289"/>
        </a:xfrm>
        <a:prstGeom prst="rect">
          <a:avLst/>
        </a:prstGeom>
      </xdr:spPr>
    </xdr:pic>
    <xdr:clientData/>
  </xdr:oneCellAnchor>
  <xdr:oneCellAnchor>
    <xdr:from>
      <xdr:col>3</xdr:col>
      <xdr:colOff>190501</xdr:colOff>
      <xdr:row>73</xdr:row>
      <xdr:rowOff>167561</xdr:rowOff>
    </xdr:from>
    <xdr:ext cx="657726" cy="165772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295651" y="41096486"/>
          <a:ext cx="657726" cy="165772"/>
        </a:xfrm>
        <a:prstGeom prst="rect">
          <a:avLst/>
        </a:prstGeom>
      </xdr:spPr>
    </xdr:pic>
    <xdr:clientData/>
  </xdr:oneCellAnchor>
  <xdr:oneCellAnchor>
    <xdr:from>
      <xdr:col>3</xdr:col>
      <xdr:colOff>210554</xdr:colOff>
      <xdr:row>74</xdr:row>
      <xdr:rowOff>210311</xdr:rowOff>
    </xdr:from>
    <xdr:ext cx="747963" cy="181529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15704" y="41605961"/>
          <a:ext cx="747963" cy="181529"/>
        </a:xfrm>
        <a:prstGeom prst="rect">
          <a:avLst/>
        </a:prstGeom>
      </xdr:spPr>
    </xdr:pic>
    <xdr:clientData/>
  </xdr:oneCellAnchor>
  <xdr:oneCellAnchor>
    <xdr:from>
      <xdr:col>3</xdr:col>
      <xdr:colOff>202897</xdr:colOff>
      <xdr:row>75</xdr:row>
      <xdr:rowOff>167179</xdr:rowOff>
    </xdr:from>
    <xdr:ext cx="808121" cy="184484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08047" y="42029554"/>
          <a:ext cx="808121" cy="184484"/>
        </a:xfrm>
        <a:prstGeom prst="rect">
          <a:avLst/>
        </a:prstGeom>
      </xdr:spPr>
    </xdr:pic>
    <xdr:clientData/>
  </xdr:oneCellAnchor>
  <xdr:oneCellAnchor>
    <xdr:from>
      <xdr:col>3</xdr:col>
      <xdr:colOff>290763</xdr:colOff>
      <xdr:row>76</xdr:row>
      <xdr:rowOff>70185</xdr:rowOff>
    </xdr:from>
    <xdr:ext cx="507331" cy="320842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5913" y="42399285"/>
          <a:ext cx="507331" cy="320842"/>
        </a:xfrm>
        <a:prstGeom prst="rect">
          <a:avLst/>
        </a:prstGeom>
      </xdr:spPr>
    </xdr:pic>
    <xdr:clientData/>
  </xdr:oneCellAnchor>
  <xdr:oneCellAnchor>
    <xdr:from>
      <xdr:col>3</xdr:col>
      <xdr:colOff>370975</xdr:colOff>
      <xdr:row>77</xdr:row>
      <xdr:rowOff>50131</xdr:rowOff>
    </xdr:from>
    <xdr:ext cx="347920" cy="355827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76125" y="42845956"/>
          <a:ext cx="347920" cy="355827"/>
        </a:xfrm>
        <a:prstGeom prst="rect">
          <a:avLst/>
        </a:prstGeom>
      </xdr:spPr>
    </xdr:pic>
    <xdr:clientData/>
  </xdr:oneCellAnchor>
  <xdr:oneCellAnchor>
    <xdr:from>
      <xdr:col>3</xdr:col>
      <xdr:colOff>372281</xdr:colOff>
      <xdr:row>78</xdr:row>
      <xdr:rowOff>73640</xdr:rowOff>
    </xdr:from>
    <xdr:ext cx="431028" cy="291757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726738" y="36199618"/>
          <a:ext cx="431028" cy="291757"/>
        </a:xfrm>
        <a:prstGeom prst="rect">
          <a:avLst/>
        </a:prstGeom>
      </xdr:spPr>
    </xdr:pic>
    <xdr:clientData/>
  </xdr:oneCellAnchor>
  <xdr:oneCellAnchor>
    <xdr:from>
      <xdr:col>3</xdr:col>
      <xdr:colOff>260684</xdr:colOff>
      <xdr:row>79</xdr:row>
      <xdr:rowOff>90237</xdr:rowOff>
    </xdr:from>
    <xdr:ext cx="607595" cy="277652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65834" y="43819512"/>
          <a:ext cx="607595" cy="277652"/>
        </a:xfrm>
        <a:prstGeom prst="rect">
          <a:avLst/>
        </a:prstGeom>
      </xdr:spPr>
    </xdr:pic>
    <xdr:clientData/>
  </xdr:oneCellAnchor>
  <xdr:oneCellAnchor>
    <xdr:from>
      <xdr:col>3</xdr:col>
      <xdr:colOff>170447</xdr:colOff>
      <xdr:row>84</xdr:row>
      <xdr:rowOff>80210</xdr:rowOff>
    </xdr:from>
    <xdr:ext cx="798095" cy="233863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275597" y="46143110"/>
          <a:ext cx="798095" cy="233863"/>
        </a:xfrm>
        <a:prstGeom prst="rect">
          <a:avLst/>
        </a:prstGeom>
      </xdr:spPr>
    </xdr:pic>
    <xdr:clientData/>
  </xdr:oneCellAnchor>
  <xdr:oneCellAnchor>
    <xdr:from>
      <xdr:col>3</xdr:col>
      <xdr:colOff>180473</xdr:colOff>
      <xdr:row>85</xdr:row>
      <xdr:rowOff>170449</xdr:rowOff>
    </xdr:from>
    <xdr:ext cx="780611" cy="110288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85623" y="46700074"/>
          <a:ext cx="780611" cy="110288"/>
        </a:xfrm>
        <a:prstGeom prst="rect">
          <a:avLst/>
        </a:prstGeom>
      </xdr:spPr>
    </xdr:pic>
    <xdr:clientData/>
  </xdr:oneCellAnchor>
  <xdr:oneCellAnchor>
    <xdr:from>
      <xdr:col>3</xdr:col>
      <xdr:colOff>461210</xdr:colOff>
      <xdr:row>91</xdr:row>
      <xdr:rowOff>70186</xdr:rowOff>
    </xdr:from>
    <xdr:ext cx="301792" cy="357226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66360" y="49400161"/>
          <a:ext cx="301792" cy="357226"/>
        </a:xfrm>
        <a:prstGeom prst="rect">
          <a:avLst/>
        </a:prstGeom>
      </xdr:spPr>
    </xdr:pic>
    <xdr:clientData/>
  </xdr:oneCellAnchor>
  <xdr:oneCellAnchor>
    <xdr:from>
      <xdr:col>3</xdr:col>
      <xdr:colOff>326572</xdr:colOff>
      <xdr:row>44</xdr:row>
      <xdr:rowOff>45465</xdr:rowOff>
    </xdr:from>
    <xdr:ext cx="425903" cy="350743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1722" y="21429090"/>
          <a:ext cx="425903" cy="350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276226</xdr:colOff>
      <xdr:row>43</xdr:row>
      <xdr:rowOff>114300</xdr:rowOff>
    </xdr:from>
    <xdr:ext cx="540544" cy="266700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21040725"/>
          <a:ext cx="540544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394423</xdr:colOff>
      <xdr:row>42</xdr:row>
      <xdr:rowOff>100879</xdr:rowOff>
    </xdr:from>
    <xdr:ext cx="458050" cy="318224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569486" y="20500191"/>
          <a:ext cx="318224" cy="45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250371</xdr:colOff>
      <xdr:row>96</xdr:row>
      <xdr:rowOff>43543</xdr:rowOff>
    </xdr:from>
    <xdr:ext cx="671763" cy="372743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55521" y="51754768"/>
          <a:ext cx="671763" cy="372743"/>
        </a:xfrm>
        <a:prstGeom prst="rect">
          <a:avLst/>
        </a:prstGeom>
      </xdr:spPr>
    </xdr:pic>
    <xdr:clientData/>
  </xdr:oneCellAnchor>
  <xdr:oneCellAnchor>
    <xdr:from>
      <xdr:col>3</xdr:col>
      <xdr:colOff>235964</xdr:colOff>
      <xdr:row>99</xdr:row>
      <xdr:rowOff>49307</xdr:rowOff>
    </xdr:from>
    <xdr:ext cx="646578" cy="372680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1114" y="52274882"/>
          <a:ext cx="646578" cy="37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189380</xdr:colOff>
      <xdr:row>100</xdr:row>
      <xdr:rowOff>179294</xdr:rowOff>
    </xdr:from>
    <xdr:ext cx="643175" cy="224117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530" y="52919219"/>
          <a:ext cx="643175" cy="224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319018</xdr:colOff>
      <xdr:row>101</xdr:row>
      <xdr:rowOff>80122</xdr:rowOff>
    </xdr:from>
    <xdr:ext cx="381909" cy="330045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424168" y="53334397"/>
          <a:ext cx="381909" cy="330045"/>
        </a:xfrm>
        <a:prstGeom prst="rect">
          <a:avLst/>
        </a:prstGeom>
      </xdr:spPr>
    </xdr:pic>
    <xdr:clientData/>
  </xdr:oneCellAnchor>
  <xdr:oneCellAnchor>
    <xdr:from>
      <xdr:col>3</xdr:col>
      <xdr:colOff>459405</xdr:colOff>
      <xdr:row>104</xdr:row>
      <xdr:rowOff>128954</xdr:rowOff>
    </xdr:from>
    <xdr:ext cx="373683" cy="278679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564555" y="54926279"/>
          <a:ext cx="373683" cy="278679"/>
        </a:xfrm>
        <a:prstGeom prst="rect">
          <a:avLst/>
        </a:prstGeom>
      </xdr:spPr>
    </xdr:pic>
    <xdr:clientData/>
  </xdr:oneCellAnchor>
  <xdr:oneCellAnchor>
    <xdr:from>
      <xdr:col>3</xdr:col>
      <xdr:colOff>509030</xdr:colOff>
      <xdr:row>105</xdr:row>
      <xdr:rowOff>113324</xdr:rowOff>
    </xdr:from>
    <xdr:ext cx="266108" cy="309261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614180" y="55424999"/>
          <a:ext cx="266108" cy="309261"/>
        </a:xfrm>
        <a:prstGeom prst="rect">
          <a:avLst/>
        </a:prstGeom>
      </xdr:spPr>
    </xdr:pic>
    <xdr:clientData/>
  </xdr:oneCellAnchor>
  <xdr:oneCellAnchor>
    <xdr:from>
      <xdr:col>3</xdr:col>
      <xdr:colOff>473582</xdr:colOff>
      <xdr:row>109</xdr:row>
      <xdr:rowOff>44578</xdr:rowOff>
    </xdr:from>
    <xdr:ext cx="250878" cy="354180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0800000">
          <a:off x="3578732" y="57413653"/>
          <a:ext cx="250878" cy="35418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103</xdr:row>
          <xdr:rowOff>76200</xdr:rowOff>
        </xdr:from>
        <xdr:to>
          <xdr:col>3</xdr:col>
          <xdr:colOff>1143000</xdr:colOff>
          <xdr:row>103</xdr:row>
          <xdr:rowOff>447675</xdr:rowOff>
        </xdr:to>
        <xdr:sp macro="" textlink="">
          <xdr:nvSpPr>
            <xdr:cNvPr id="28673" name="Object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3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3</xdr:col>
      <xdr:colOff>431131</xdr:colOff>
      <xdr:row>49</xdr:row>
      <xdr:rowOff>50132</xdr:rowOff>
    </xdr:from>
    <xdr:ext cx="331370" cy="35122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536281" y="29891957"/>
          <a:ext cx="331370" cy="351225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50</xdr:row>
      <xdr:rowOff>60158</xdr:rowOff>
    </xdr:from>
    <xdr:ext cx="383507" cy="337606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486150" y="30359183"/>
          <a:ext cx="383507" cy="337606"/>
        </a:xfrm>
        <a:prstGeom prst="rect">
          <a:avLst/>
        </a:prstGeom>
      </xdr:spPr>
    </xdr:pic>
    <xdr:clientData/>
  </xdr:oneCellAnchor>
  <xdr:oneCellAnchor>
    <xdr:from>
      <xdr:col>3</xdr:col>
      <xdr:colOff>411079</xdr:colOff>
      <xdr:row>52</xdr:row>
      <xdr:rowOff>80210</xdr:rowOff>
    </xdr:from>
    <xdr:ext cx="351924" cy="337606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16229" y="31293635"/>
          <a:ext cx="351924" cy="337606"/>
        </a:xfrm>
        <a:prstGeom prst="rect">
          <a:avLst/>
        </a:prstGeom>
      </xdr:spPr>
    </xdr:pic>
    <xdr:clientData/>
  </xdr:oneCellAnchor>
  <xdr:oneCellAnchor>
    <xdr:from>
      <xdr:col>3</xdr:col>
      <xdr:colOff>360947</xdr:colOff>
      <xdr:row>51</xdr:row>
      <xdr:rowOff>60159</xdr:rowOff>
    </xdr:from>
    <xdr:ext cx="403559" cy="358082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66097" y="30816384"/>
          <a:ext cx="403559" cy="358082"/>
        </a:xfrm>
        <a:prstGeom prst="rect">
          <a:avLst/>
        </a:prstGeom>
      </xdr:spPr>
    </xdr:pic>
    <xdr:clientData/>
  </xdr:oneCellAnchor>
  <xdr:oneCellAnchor>
    <xdr:from>
      <xdr:col>3</xdr:col>
      <xdr:colOff>360948</xdr:colOff>
      <xdr:row>53</xdr:row>
      <xdr:rowOff>197989</xdr:rowOff>
    </xdr:from>
    <xdr:ext cx="402906" cy="101017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flipV="1">
          <a:off x="3466098" y="31868614"/>
          <a:ext cx="402906" cy="10101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54</xdr:row>
      <xdr:rowOff>86629</xdr:rowOff>
    </xdr:from>
    <xdr:ext cx="260684" cy="285277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516230" y="32214454"/>
          <a:ext cx="260684" cy="28527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55</xdr:row>
      <xdr:rowOff>135592</xdr:rowOff>
    </xdr:from>
    <xdr:ext cx="320842" cy="245840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16230" y="32720617"/>
          <a:ext cx="320842" cy="245840"/>
        </a:xfrm>
        <a:prstGeom prst="rect">
          <a:avLst/>
        </a:prstGeom>
      </xdr:spPr>
    </xdr:pic>
    <xdr:clientData/>
  </xdr:oneCellAnchor>
  <xdr:twoCellAnchor editAs="oneCell">
    <xdr:from>
      <xdr:col>3</xdr:col>
      <xdr:colOff>287099</xdr:colOff>
      <xdr:row>56</xdr:row>
      <xdr:rowOff>31673</xdr:rowOff>
    </xdr:from>
    <xdr:to>
      <xdr:col>3</xdr:col>
      <xdr:colOff>845461</xdr:colOff>
      <xdr:row>56</xdr:row>
      <xdr:rowOff>424666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92249" y="33073898"/>
          <a:ext cx="558362" cy="392993"/>
        </a:xfrm>
        <a:prstGeom prst="rect">
          <a:avLst/>
        </a:prstGeom>
      </xdr:spPr>
    </xdr:pic>
    <xdr:clientData/>
  </xdr:twoCellAnchor>
  <xdr:twoCellAnchor editAs="oneCell">
    <xdr:from>
      <xdr:col>3</xdr:col>
      <xdr:colOff>386806</xdr:colOff>
      <xdr:row>57</xdr:row>
      <xdr:rowOff>10949</xdr:rowOff>
    </xdr:from>
    <xdr:to>
      <xdr:col>3</xdr:col>
      <xdr:colOff>731520</xdr:colOff>
      <xdr:row>57</xdr:row>
      <xdr:rowOff>416718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91956" y="33510374"/>
          <a:ext cx="344714" cy="4057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357189</xdr:colOff>
      <xdr:row>58</xdr:row>
      <xdr:rowOff>42524</xdr:rowOff>
    </xdr:from>
    <xdr:to>
      <xdr:col>3</xdr:col>
      <xdr:colOff>816429</xdr:colOff>
      <xdr:row>58</xdr:row>
      <xdr:rowOff>447922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462339" y="33999149"/>
          <a:ext cx="459240" cy="405398"/>
        </a:xfrm>
        <a:prstGeom prst="rect">
          <a:avLst/>
        </a:prstGeom>
      </xdr:spPr>
    </xdr:pic>
    <xdr:clientData/>
  </xdr:twoCellAnchor>
  <xdr:twoCellAnchor editAs="oneCell">
    <xdr:from>
      <xdr:col>3</xdr:col>
      <xdr:colOff>246630</xdr:colOff>
      <xdr:row>60</xdr:row>
      <xdr:rowOff>59531</xdr:rowOff>
    </xdr:from>
    <xdr:to>
      <xdr:col>3</xdr:col>
      <xdr:colOff>935492</xdr:colOff>
      <xdr:row>60</xdr:row>
      <xdr:rowOff>446584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51780" y="34930556"/>
          <a:ext cx="688862" cy="387053"/>
        </a:xfrm>
        <a:prstGeom prst="rect">
          <a:avLst/>
        </a:prstGeom>
      </xdr:spPr>
    </xdr:pic>
    <xdr:clientData/>
  </xdr:twoCellAnchor>
  <xdr:twoCellAnchor editAs="oneCell">
    <xdr:from>
      <xdr:col>3</xdr:col>
      <xdr:colOff>358469</xdr:colOff>
      <xdr:row>59</xdr:row>
      <xdr:rowOff>71694</xdr:rowOff>
    </xdr:from>
    <xdr:to>
      <xdr:col>3</xdr:col>
      <xdr:colOff>782693</xdr:colOff>
      <xdr:row>59</xdr:row>
      <xdr:rowOff>450645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63619" y="34485519"/>
          <a:ext cx="424224" cy="378951"/>
        </a:xfrm>
        <a:prstGeom prst="rect">
          <a:avLst/>
        </a:prstGeom>
      </xdr:spPr>
    </xdr:pic>
    <xdr:clientData/>
  </xdr:twoCellAnchor>
  <xdr:oneCellAnchor>
    <xdr:from>
      <xdr:col>3</xdr:col>
      <xdr:colOff>293792</xdr:colOff>
      <xdr:row>230</xdr:row>
      <xdr:rowOff>78469</xdr:rowOff>
    </xdr:from>
    <xdr:ext cx="808121" cy="184484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8942" y="91899469"/>
          <a:ext cx="808121" cy="184484"/>
        </a:xfrm>
        <a:prstGeom prst="rect">
          <a:avLst/>
        </a:prstGeom>
      </xdr:spPr>
    </xdr:pic>
    <xdr:clientData/>
  </xdr:oneCellAnchor>
  <xdr:twoCellAnchor editAs="oneCell">
    <xdr:from>
      <xdr:col>3</xdr:col>
      <xdr:colOff>286774</xdr:colOff>
      <xdr:row>80</xdr:row>
      <xdr:rowOff>61452</xdr:rowOff>
    </xdr:from>
    <xdr:to>
      <xdr:col>3</xdr:col>
      <xdr:colOff>757903</xdr:colOff>
      <xdr:row>80</xdr:row>
      <xdr:rowOff>453816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1924" y="44257452"/>
          <a:ext cx="471129" cy="392364"/>
        </a:xfrm>
        <a:prstGeom prst="rect">
          <a:avLst/>
        </a:prstGeom>
      </xdr:spPr>
    </xdr:pic>
    <xdr:clientData/>
  </xdr:twoCellAnchor>
  <xdr:twoCellAnchor editAs="oneCell">
    <xdr:from>
      <xdr:col>3</xdr:col>
      <xdr:colOff>368709</xdr:colOff>
      <xdr:row>81</xdr:row>
      <xdr:rowOff>51211</xdr:rowOff>
    </xdr:from>
    <xdr:to>
      <xdr:col>3</xdr:col>
      <xdr:colOff>737420</xdr:colOff>
      <xdr:row>81</xdr:row>
      <xdr:rowOff>445705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473859" y="44713936"/>
          <a:ext cx="368711" cy="394494"/>
        </a:xfrm>
        <a:prstGeom prst="rect">
          <a:avLst/>
        </a:prstGeom>
      </xdr:spPr>
    </xdr:pic>
    <xdr:clientData/>
  </xdr:twoCellAnchor>
  <xdr:twoCellAnchor editAs="oneCell">
    <xdr:from>
      <xdr:col>3</xdr:col>
      <xdr:colOff>337984</xdr:colOff>
      <xdr:row>82</xdr:row>
      <xdr:rowOff>30726</xdr:rowOff>
    </xdr:from>
    <xdr:to>
      <xdr:col>3</xdr:col>
      <xdr:colOff>809113</xdr:colOff>
      <xdr:row>83</xdr:row>
      <xdr:rowOff>1830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443134" y="45160176"/>
          <a:ext cx="471129" cy="431479"/>
        </a:xfrm>
        <a:prstGeom prst="rect">
          <a:avLst/>
        </a:prstGeom>
      </xdr:spPr>
    </xdr:pic>
    <xdr:clientData/>
  </xdr:twoCellAnchor>
  <xdr:twoCellAnchor editAs="oneCell">
    <xdr:from>
      <xdr:col>3</xdr:col>
      <xdr:colOff>307258</xdr:colOff>
      <xdr:row>83</xdr:row>
      <xdr:rowOff>51210</xdr:rowOff>
    </xdr:from>
    <xdr:to>
      <xdr:col>3</xdr:col>
      <xdr:colOff>829597</xdr:colOff>
      <xdr:row>84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12408" y="45647385"/>
          <a:ext cx="522339" cy="415792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140073</xdr:colOff>
      <xdr:row>87</xdr:row>
      <xdr:rowOff>98053</xdr:rowOff>
    </xdr:from>
    <xdr:to>
      <xdr:col>3</xdr:col>
      <xdr:colOff>1065161</xdr:colOff>
      <xdr:row>87</xdr:row>
      <xdr:rowOff>420223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45223" y="47561128"/>
          <a:ext cx="925088" cy="322170"/>
        </a:xfrm>
        <a:prstGeom prst="rect">
          <a:avLst/>
        </a:prstGeom>
      </xdr:spPr>
    </xdr:pic>
    <xdr:clientData/>
  </xdr:twoCellAnchor>
  <xdr:twoCellAnchor editAs="oneCell">
    <xdr:from>
      <xdr:col>3</xdr:col>
      <xdr:colOff>126066</xdr:colOff>
      <xdr:row>86</xdr:row>
      <xdr:rowOff>98053</xdr:rowOff>
    </xdr:from>
    <xdr:to>
      <xdr:col>3</xdr:col>
      <xdr:colOff>1041212</xdr:colOff>
      <xdr:row>86</xdr:row>
      <xdr:rowOff>434229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231216" y="47094403"/>
          <a:ext cx="915146" cy="336176"/>
        </a:xfrm>
        <a:prstGeom prst="rect">
          <a:avLst/>
        </a:prstGeom>
      </xdr:spPr>
    </xdr:pic>
    <xdr:clientData/>
  </xdr:twoCellAnchor>
  <xdr:twoCellAnchor editAs="oneCell">
    <xdr:from>
      <xdr:col>3</xdr:col>
      <xdr:colOff>84043</xdr:colOff>
      <xdr:row>88</xdr:row>
      <xdr:rowOff>56029</xdr:rowOff>
    </xdr:from>
    <xdr:to>
      <xdr:col>3</xdr:col>
      <xdr:colOff>1121533</xdr:colOff>
      <xdr:row>89</xdr:row>
      <xdr:rowOff>1867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189193" y="47985829"/>
          <a:ext cx="1037490" cy="406213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140074</xdr:colOff>
      <xdr:row>89</xdr:row>
      <xdr:rowOff>70038</xdr:rowOff>
    </xdr:from>
    <xdr:to>
      <xdr:col>3</xdr:col>
      <xdr:colOff>1036544</xdr:colOff>
      <xdr:row>90</xdr:row>
      <xdr:rowOff>14844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245224" y="48466563"/>
          <a:ext cx="896470" cy="411530"/>
        </a:xfrm>
        <a:prstGeom prst="rect">
          <a:avLst/>
        </a:prstGeom>
      </xdr:spPr>
    </xdr:pic>
    <xdr:clientData/>
  </xdr:twoCellAnchor>
  <xdr:twoCellAnchor editAs="oneCell">
    <xdr:from>
      <xdr:col>3</xdr:col>
      <xdr:colOff>98051</xdr:colOff>
      <xdr:row>90</xdr:row>
      <xdr:rowOff>70037</xdr:rowOff>
    </xdr:from>
    <xdr:to>
      <xdr:col>3</xdr:col>
      <xdr:colOff>1102098</xdr:colOff>
      <xdr:row>91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203201" y="48933287"/>
          <a:ext cx="1004047" cy="396688"/>
        </a:xfrm>
        <a:prstGeom prst="rect">
          <a:avLst/>
        </a:prstGeom>
      </xdr:spPr>
    </xdr:pic>
    <xdr:clientData/>
  </xdr:twoCellAnchor>
  <xdr:twoCellAnchor editAs="oneCell">
    <xdr:from>
      <xdr:col>3</xdr:col>
      <xdr:colOff>210110</xdr:colOff>
      <xdr:row>92</xdr:row>
      <xdr:rowOff>42022</xdr:rowOff>
    </xdr:from>
    <xdr:to>
      <xdr:col>3</xdr:col>
      <xdr:colOff>966507</xdr:colOff>
      <xdr:row>92</xdr:row>
      <xdr:rowOff>459153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315260" y="49838722"/>
          <a:ext cx="756397" cy="417131"/>
        </a:xfrm>
        <a:prstGeom prst="rect">
          <a:avLst/>
        </a:prstGeom>
      </xdr:spPr>
    </xdr:pic>
    <xdr:clientData/>
  </xdr:twoCellAnchor>
  <xdr:twoCellAnchor editAs="oneCell">
    <xdr:from>
      <xdr:col>3</xdr:col>
      <xdr:colOff>294155</xdr:colOff>
      <xdr:row>102</xdr:row>
      <xdr:rowOff>126066</xdr:rowOff>
    </xdr:from>
    <xdr:to>
      <xdr:col>3</xdr:col>
      <xdr:colOff>967130</xdr:colOff>
      <xdr:row>102</xdr:row>
      <xdr:rowOff>448235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399305" y="53894691"/>
          <a:ext cx="672975" cy="322169"/>
        </a:xfrm>
        <a:prstGeom prst="rect">
          <a:avLst/>
        </a:prstGeom>
      </xdr:spPr>
    </xdr:pic>
    <xdr:clientData/>
  </xdr:twoCellAnchor>
  <xdr:twoCellAnchor editAs="oneCell">
    <xdr:from>
      <xdr:col>3</xdr:col>
      <xdr:colOff>336176</xdr:colOff>
      <xdr:row>35</xdr:row>
      <xdr:rowOff>42022</xdr:rowOff>
    </xdr:from>
    <xdr:to>
      <xdr:col>3</xdr:col>
      <xdr:colOff>704887</xdr:colOff>
      <xdr:row>35</xdr:row>
      <xdr:rowOff>436516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441326" y="16853647"/>
          <a:ext cx="368711" cy="394494"/>
        </a:xfrm>
        <a:prstGeom prst="rect">
          <a:avLst/>
        </a:prstGeom>
      </xdr:spPr>
    </xdr:pic>
    <xdr:clientData/>
  </xdr:twoCellAnchor>
  <xdr:oneCellAnchor>
    <xdr:from>
      <xdr:col>3</xdr:col>
      <xdr:colOff>256442</xdr:colOff>
      <xdr:row>34</xdr:row>
      <xdr:rowOff>146538</xdr:rowOff>
    </xdr:from>
    <xdr:ext cx="325855" cy="238125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592" y="16500963"/>
          <a:ext cx="32585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363311</xdr:colOff>
      <xdr:row>5</xdr:row>
      <xdr:rowOff>54429</xdr:rowOff>
    </xdr:from>
    <xdr:ext cx="390343" cy="387926"/>
    <xdr:pic>
      <xdr:nvPicPr>
        <xdr:cNvPr id="103" name="Picture 56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8461" y="2807154"/>
          <a:ext cx="390343" cy="387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390525</xdr:colOff>
      <xdr:row>6</xdr:row>
      <xdr:rowOff>66675</xdr:rowOff>
    </xdr:from>
    <xdr:ext cx="371475" cy="371884"/>
    <xdr:pic>
      <xdr:nvPicPr>
        <xdr:cNvPr id="104" name="Picture 63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3276600"/>
          <a:ext cx="371475" cy="371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7</xdr:row>
      <xdr:rowOff>47625</xdr:rowOff>
    </xdr:from>
    <xdr:ext cx="438150" cy="411173"/>
    <xdr:pic>
      <xdr:nvPicPr>
        <xdr:cNvPr id="105" name="Picture 6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3714750"/>
          <a:ext cx="438150" cy="411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312966</xdr:colOff>
      <xdr:row>8</xdr:row>
      <xdr:rowOff>44905</xdr:rowOff>
    </xdr:from>
    <xdr:ext cx="383397" cy="342899"/>
    <xdr:pic>
      <xdr:nvPicPr>
        <xdr:cNvPr id="106" name="Picture 64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8116" y="4169230"/>
          <a:ext cx="383397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352425</xdr:colOff>
      <xdr:row>9</xdr:row>
      <xdr:rowOff>9526</xdr:rowOff>
    </xdr:from>
    <xdr:ext cx="410284" cy="428624"/>
    <xdr:pic>
      <xdr:nvPicPr>
        <xdr:cNvPr id="107" name="Picture 66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4591051"/>
          <a:ext cx="410284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371475</xdr:colOff>
      <xdr:row>10</xdr:row>
      <xdr:rowOff>38101</xdr:rowOff>
    </xdr:from>
    <xdr:ext cx="390525" cy="400050"/>
    <xdr:pic>
      <xdr:nvPicPr>
        <xdr:cNvPr id="108" name="Picture 67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076826"/>
          <a:ext cx="3905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295276</xdr:colOff>
      <xdr:row>11</xdr:row>
      <xdr:rowOff>0</xdr:rowOff>
    </xdr:from>
    <xdr:ext cx="464784" cy="409575"/>
    <xdr:pic>
      <xdr:nvPicPr>
        <xdr:cNvPr id="109" name="Picture 69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6" y="5495925"/>
          <a:ext cx="46478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323851</xdr:colOff>
      <xdr:row>11</xdr:row>
      <xdr:rowOff>47625</xdr:rowOff>
    </xdr:from>
    <xdr:ext cx="413348" cy="390525"/>
    <xdr:pic>
      <xdr:nvPicPr>
        <xdr:cNvPr id="110" name="Picture 7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5543550"/>
          <a:ext cx="41334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26</xdr:row>
      <xdr:rowOff>57150</xdr:rowOff>
    </xdr:from>
    <xdr:ext cx="523875" cy="379364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12411075"/>
          <a:ext cx="523875" cy="379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323851</xdr:colOff>
      <xdr:row>12</xdr:row>
      <xdr:rowOff>9526</xdr:rowOff>
    </xdr:from>
    <xdr:ext cx="438149" cy="450142"/>
    <xdr:pic>
      <xdr:nvPicPr>
        <xdr:cNvPr id="112" name="Picture 72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1" y="5962651"/>
          <a:ext cx="438149" cy="450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13</xdr:row>
      <xdr:rowOff>57150</xdr:rowOff>
    </xdr:from>
    <xdr:ext cx="449893" cy="361950"/>
    <xdr:pic>
      <xdr:nvPicPr>
        <xdr:cNvPr id="113" name="Picture 73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6467475"/>
          <a:ext cx="44989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257175</xdr:colOff>
      <xdr:row>14</xdr:row>
      <xdr:rowOff>76200</xdr:rowOff>
    </xdr:from>
    <xdr:ext cx="503238" cy="323850"/>
    <xdr:pic>
      <xdr:nvPicPr>
        <xdr:cNvPr id="114" name="Picture 74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6943725"/>
          <a:ext cx="503238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352425</xdr:colOff>
      <xdr:row>15</xdr:row>
      <xdr:rowOff>19050</xdr:rowOff>
    </xdr:from>
    <xdr:ext cx="395111" cy="381000"/>
    <xdr:pic>
      <xdr:nvPicPr>
        <xdr:cNvPr id="115" name="Picture 7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43775"/>
          <a:ext cx="395111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238125</xdr:colOff>
      <xdr:row>16</xdr:row>
      <xdr:rowOff>114301</xdr:rowOff>
    </xdr:from>
    <xdr:ext cx="485775" cy="323849"/>
    <xdr:pic>
      <xdr:nvPicPr>
        <xdr:cNvPr id="116" name="Picture 77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7896226"/>
          <a:ext cx="485775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17</xdr:row>
      <xdr:rowOff>6804</xdr:rowOff>
    </xdr:from>
    <xdr:ext cx="445770" cy="371475"/>
    <xdr:pic>
      <xdr:nvPicPr>
        <xdr:cNvPr id="117" name="Picture 7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8245929"/>
          <a:ext cx="4457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276225</xdr:colOff>
      <xdr:row>18</xdr:row>
      <xdr:rowOff>28575</xdr:rowOff>
    </xdr:from>
    <xdr:ext cx="466725" cy="373380"/>
    <xdr:pic>
      <xdr:nvPicPr>
        <xdr:cNvPr id="118" name="Picture 7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5" y="8724900"/>
          <a:ext cx="466725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19</xdr:row>
      <xdr:rowOff>85725</xdr:rowOff>
    </xdr:from>
    <xdr:ext cx="352425" cy="325475"/>
    <xdr:pic>
      <xdr:nvPicPr>
        <xdr:cNvPr id="119" name="Picture 8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9239250"/>
          <a:ext cx="352425" cy="3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20</xdr:row>
      <xdr:rowOff>9525</xdr:rowOff>
    </xdr:from>
    <xdr:ext cx="447675" cy="421005"/>
    <xdr:pic>
      <xdr:nvPicPr>
        <xdr:cNvPr id="120" name="Picture 55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9620250"/>
          <a:ext cx="447675" cy="42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390526</xdr:colOff>
      <xdr:row>21</xdr:row>
      <xdr:rowOff>47625</xdr:rowOff>
    </xdr:from>
    <xdr:ext cx="371475" cy="371475"/>
    <xdr:pic>
      <xdr:nvPicPr>
        <xdr:cNvPr id="121" name="Picture 5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6" y="10115550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22</xdr:row>
      <xdr:rowOff>38101</xdr:rowOff>
    </xdr:from>
    <xdr:ext cx="352425" cy="316961"/>
    <xdr:pic>
      <xdr:nvPicPr>
        <xdr:cNvPr id="122" name="Picture 8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0" y="10563226"/>
          <a:ext cx="352425" cy="316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23</xdr:row>
      <xdr:rowOff>95250</xdr:rowOff>
    </xdr:from>
    <xdr:ext cx="447675" cy="304800"/>
    <xdr:pic>
      <xdr:nvPicPr>
        <xdr:cNvPr id="123" name="Picture 5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1077575"/>
          <a:ext cx="4476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400050</xdr:colOff>
      <xdr:row>25</xdr:row>
      <xdr:rowOff>47625</xdr:rowOff>
    </xdr:from>
    <xdr:ext cx="361950" cy="331897"/>
    <xdr:pic>
      <xdr:nvPicPr>
        <xdr:cNvPr id="124" name="Picture 82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0" y="11944350"/>
          <a:ext cx="361950" cy="331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485775</xdr:colOff>
      <xdr:row>24</xdr:row>
      <xdr:rowOff>104775</xdr:rowOff>
    </xdr:from>
    <xdr:ext cx="251194" cy="257175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11544300"/>
          <a:ext cx="25119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333376</xdr:colOff>
      <xdr:row>27</xdr:row>
      <xdr:rowOff>123825</xdr:rowOff>
    </xdr:from>
    <xdr:ext cx="383580" cy="238125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6" y="12934950"/>
          <a:ext cx="38358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285749</xdr:colOff>
      <xdr:row>28</xdr:row>
      <xdr:rowOff>95904</xdr:rowOff>
    </xdr:from>
    <xdr:ext cx="474567" cy="256521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390899" y="13364229"/>
          <a:ext cx="474567" cy="25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428626</xdr:colOff>
      <xdr:row>29</xdr:row>
      <xdr:rowOff>104775</xdr:rowOff>
    </xdr:from>
    <xdr:ext cx="304800" cy="276225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6" y="1383030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38</xdr:row>
      <xdr:rowOff>95251</xdr:rowOff>
    </xdr:from>
    <xdr:ext cx="422578" cy="304799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17935576"/>
          <a:ext cx="422578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314325</xdr:colOff>
      <xdr:row>39</xdr:row>
      <xdr:rowOff>114300</xdr:rowOff>
    </xdr:from>
    <xdr:ext cx="443865" cy="276890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18411825"/>
          <a:ext cx="443865" cy="27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30</xdr:row>
      <xdr:rowOff>123825</xdr:rowOff>
    </xdr:from>
    <xdr:ext cx="401411" cy="23812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14306550"/>
          <a:ext cx="40141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238125</xdr:colOff>
      <xdr:row>31</xdr:row>
      <xdr:rowOff>114301</xdr:rowOff>
    </xdr:from>
    <xdr:ext cx="504825" cy="299472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3275" y="14754226"/>
          <a:ext cx="504825" cy="29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266700</xdr:colOff>
      <xdr:row>32</xdr:row>
      <xdr:rowOff>66675</xdr:rowOff>
    </xdr:from>
    <xdr:ext cx="457200" cy="33337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5163800"/>
          <a:ext cx="457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333374</xdr:colOff>
      <xdr:row>33</xdr:row>
      <xdr:rowOff>180975</xdr:rowOff>
    </xdr:from>
    <xdr:ext cx="238125" cy="178594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4" y="15735300"/>
          <a:ext cx="238125" cy="178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300790</xdr:colOff>
      <xdr:row>71</xdr:row>
      <xdr:rowOff>140369</xdr:rowOff>
    </xdr:from>
    <xdr:ext cx="464218" cy="179668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05940" y="35135219"/>
          <a:ext cx="464218" cy="179668"/>
        </a:xfrm>
        <a:prstGeom prst="rect">
          <a:avLst/>
        </a:prstGeom>
      </xdr:spPr>
    </xdr:pic>
    <xdr:clientData/>
  </xdr:oneCellAnchor>
  <xdr:oneCellAnchor>
    <xdr:from>
      <xdr:col>3</xdr:col>
      <xdr:colOff>250659</xdr:colOff>
      <xdr:row>72</xdr:row>
      <xdr:rowOff>180474</xdr:rowOff>
    </xdr:from>
    <xdr:ext cx="550880" cy="110289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55809" y="35642049"/>
          <a:ext cx="550880" cy="110289"/>
        </a:xfrm>
        <a:prstGeom prst="rect">
          <a:avLst/>
        </a:prstGeom>
      </xdr:spPr>
    </xdr:pic>
    <xdr:clientData/>
  </xdr:oneCellAnchor>
  <xdr:oneCellAnchor>
    <xdr:from>
      <xdr:col>3</xdr:col>
      <xdr:colOff>190501</xdr:colOff>
      <xdr:row>73</xdr:row>
      <xdr:rowOff>167561</xdr:rowOff>
    </xdr:from>
    <xdr:ext cx="657726" cy="165772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295651" y="36095861"/>
          <a:ext cx="657726" cy="165772"/>
        </a:xfrm>
        <a:prstGeom prst="rect">
          <a:avLst/>
        </a:prstGeom>
      </xdr:spPr>
    </xdr:pic>
    <xdr:clientData/>
  </xdr:oneCellAnchor>
  <xdr:oneCellAnchor>
    <xdr:from>
      <xdr:col>3</xdr:col>
      <xdr:colOff>210554</xdr:colOff>
      <xdr:row>74</xdr:row>
      <xdr:rowOff>210311</xdr:rowOff>
    </xdr:from>
    <xdr:ext cx="747963" cy="181529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15704" y="36605336"/>
          <a:ext cx="747963" cy="181529"/>
        </a:xfrm>
        <a:prstGeom prst="rect">
          <a:avLst/>
        </a:prstGeom>
      </xdr:spPr>
    </xdr:pic>
    <xdr:clientData/>
  </xdr:oneCellAnchor>
  <xdr:oneCellAnchor>
    <xdr:from>
      <xdr:col>3</xdr:col>
      <xdr:colOff>202897</xdr:colOff>
      <xdr:row>75</xdr:row>
      <xdr:rowOff>167179</xdr:rowOff>
    </xdr:from>
    <xdr:ext cx="808121" cy="184484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08047" y="37028929"/>
          <a:ext cx="808121" cy="184484"/>
        </a:xfrm>
        <a:prstGeom prst="rect">
          <a:avLst/>
        </a:prstGeom>
      </xdr:spPr>
    </xdr:pic>
    <xdr:clientData/>
  </xdr:oneCellAnchor>
  <xdr:oneCellAnchor>
    <xdr:from>
      <xdr:col>3</xdr:col>
      <xdr:colOff>290763</xdr:colOff>
      <xdr:row>76</xdr:row>
      <xdr:rowOff>70185</xdr:rowOff>
    </xdr:from>
    <xdr:ext cx="507331" cy="320842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5913" y="37398660"/>
          <a:ext cx="507331" cy="320842"/>
        </a:xfrm>
        <a:prstGeom prst="rect">
          <a:avLst/>
        </a:prstGeom>
      </xdr:spPr>
    </xdr:pic>
    <xdr:clientData/>
  </xdr:oneCellAnchor>
  <xdr:oneCellAnchor>
    <xdr:from>
      <xdr:col>3</xdr:col>
      <xdr:colOff>370975</xdr:colOff>
      <xdr:row>77</xdr:row>
      <xdr:rowOff>50131</xdr:rowOff>
    </xdr:from>
    <xdr:ext cx="347920" cy="355827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476125" y="37845331"/>
          <a:ext cx="347920" cy="355827"/>
        </a:xfrm>
        <a:prstGeom prst="rect">
          <a:avLst/>
        </a:prstGeom>
      </xdr:spPr>
    </xdr:pic>
    <xdr:clientData/>
  </xdr:oneCellAnchor>
  <xdr:oneCellAnchor>
    <xdr:from>
      <xdr:col>3</xdr:col>
      <xdr:colOff>330868</xdr:colOff>
      <xdr:row>78</xdr:row>
      <xdr:rowOff>73640</xdr:rowOff>
    </xdr:from>
    <xdr:ext cx="431028" cy="291757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36018" y="38335565"/>
          <a:ext cx="431028" cy="291757"/>
        </a:xfrm>
        <a:prstGeom prst="rect">
          <a:avLst/>
        </a:prstGeom>
      </xdr:spPr>
    </xdr:pic>
    <xdr:clientData/>
  </xdr:oneCellAnchor>
  <xdr:oneCellAnchor>
    <xdr:from>
      <xdr:col>3</xdr:col>
      <xdr:colOff>260684</xdr:colOff>
      <xdr:row>79</xdr:row>
      <xdr:rowOff>90237</xdr:rowOff>
    </xdr:from>
    <xdr:ext cx="607595" cy="277652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65834" y="38818887"/>
          <a:ext cx="607595" cy="277652"/>
        </a:xfrm>
        <a:prstGeom prst="rect">
          <a:avLst/>
        </a:prstGeom>
      </xdr:spPr>
    </xdr:pic>
    <xdr:clientData/>
  </xdr:oneCellAnchor>
  <xdr:oneCellAnchor>
    <xdr:from>
      <xdr:col>3</xdr:col>
      <xdr:colOff>170447</xdr:colOff>
      <xdr:row>84</xdr:row>
      <xdr:rowOff>80210</xdr:rowOff>
    </xdr:from>
    <xdr:ext cx="798095" cy="233863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275597" y="41142485"/>
          <a:ext cx="798095" cy="233863"/>
        </a:xfrm>
        <a:prstGeom prst="rect">
          <a:avLst/>
        </a:prstGeom>
      </xdr:spPr>
    </xdr:pic>
    <xdr:clientData/>
  </xdr:oneCellAnchor>
  <xdr:oneCellAnchor>
    <xdr:from>
      <xdr:col>3</xdr:col>
      <xdr:colOff>180473</xdr:colOff>
      <xdr:row>85</xdr:row>
      <xdr:rowOff>170449</xdr:rowOff>
    </xdr:from>
    <xdr:ext cx="780611" cy="110288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285623" y="41699449"/>
          <a:ext cx="780611" cy="110288"/>
        </a:xfrm>
        <a:prstGeom prst="rect">
          <a:avLst/>
        </a:prstGeom>
      </xdr:spPr>
    </xdr:pic>
    <xdr:clientData/>
  </xdr:oneCellAnchor>
  <xdr:oneCellAnchor>
    <xdr:from>
      <xdr:col>3</xdr:col>
      <xdr:colOff>461210</xdr:colOff>
      <xdr:row>91</xdr:row>
      <xdr:rowOff>70186</xdr:rowOff>
    </xdr:from>
    <xdr:ext cx="301792" cy="357226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566360" y="44399536"/>
          <a:ext cx="301792" cy="357226"/>
        </a:xfrm>
        <a:prstGeom prst="rect">
          <a:avLst/>
        </a:prstGeom>
      </xdr:spPr>
    </xdr:pic>
    <xdr:clientData/>
  </xdr:oneCellAnchor>
  <xdr:oneCellAnchor>
    <xdr:from>
      <xdr:col>3</xdr:col>
      <xdr:colOff>326572</xdr:colOff>
      <xdr:row>44</xdr:row>
      <xdr:rowOff>45465</xdr:rowOff>
    </xdr:from>
    <xdr:ext cx="425903" cy="350743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1722" y="20628990"/>
          <a:ext cx="425903" cy="350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276226</xdr:colOff>
      <xdr:row>43</xdr:row>
      <xdr:rowOff>114300</xdr:rowOff>
    </xdr:from>
    <xdr:ext cx="540544" cy="266700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20240625"/>
          <a:ext cx="540544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394423</xdr:colOff>
      <xdr:row>42</xdr:row>
      <xdr:rowOff>100879</xdr:rowOff>
    </xdr:from>
    <xdr:ext cx="458050" cy="318224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569486" y="19700091"/>
          <a:ext cx="318224" cy="45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457201</xdr:colOff>
      <xdr:row>46</xdr:row>
      <xdr:rowOff>104775</xdr:rowOff>
    </xdr:from>
    <xdr:ext cx="289560" cy="304800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2351" y="25603200"/>
          <a:ext cx="28956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142877</xdr:colOff>
      <xdr:row>47</xdr:row>
      <xdr:rowOff>76201</xdr:rowOff>
    </xdr:from>
    <xdr:ext cx="756394" cy="257174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8027" y="26031826"/>
          <a:ext cx="75639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250371</xdr:colOff>
      <xdr:row>96</xdr:row>
      <xdr:rowOff>43543</xdr:rowOff>
    </xdr:from>
    <xdr:ext cx="671763" cy="372743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55521" y="46754143"/>
          <a:ext cx="671763" cy="372743"/>
        </a:xfrm>
        <a:prstGeom prst="rect">
          <a:avLst/>
        </a:prstGeom>
      </xdr:spPr>
    </xdr:pic>
    <xdr:clientData/>
  </xdr:oneCellAnchor>
  <xdr:oneCellAnchor>
    <xdr:from>
      <xdr:col>3</xdr:col>
      <xdr:colOff>235964</xdr:colOff>
      <xdr:row>99</xdr:row>
      <xdr:rowOff>49307</xdr:rowOff>
    </xdr:from>
    <xdr:ext cx="646578" cy="372680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1114" y="47274257"/>
          <a:ext cx="646578" cy="37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189380</xdr:colOff>
      <xdr:row>100</xdr:row>
      <xdr:rowOff>179294</xdr:rowOff>
    </xdr:from>
    <xdr:ext cx="643175" cy="224117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4530" y="47918594"/>
          <a:ext cx="643175" cy="224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319018</xdr:colOff>
      <xdr:row>101</xdr:row>
      <xdr:rowOff>80122</xdr:rowOff>
    </xdr:from>
    <xdr:ext cx="381909" cy="330045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24168" y="48333772"/>
          <a:ext cx="381909" cy="330045"/>
        </a:xfrm>
        <a:prstGeom prst="rect">
          <a:avLst/>
        </a:prstGeom>
      </xdr:spPr>
    </xdr:pic>
    <xdr:clientData/>
  </xdr:oneCellAnchor>
  <xdr:oneCellAnchor>
    <xdr:from>
      <xdr:col>3</xdr:col>
      <xdr:colOff>459405</xdr:colOff>
      <xdr:row>104</xdr:row>
      <xdr:rowOff>128954</xdr:rowOff>
    </xdr:from>
    <xdr:ext cx="373683" cy="278679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564555" y="49925654"/>
          <a:ext cx="373683" cy="278679"/>
        </a:xfrm>
        <a:prstGeom prst="rect">
          <a:avLst/>
        </a:prstGeom>
      </xdr:spPr>
    </xdr:pic>
    <xdr:clientData/>
  </xdr:oneCellAnchor>
  <xdr:oneCellAnchor>
    <xdr:from>
      <xdr:col>3</xdr:col>
      <xdr:colOff>509030</xdr:colOff>
      <xdr:row>105</xdr:row>
      <xdr:rowOff>113324</xdr:rowOff>
    </xdr:from>
    <xdr:ext cx="266108" cy="309261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614180" y="50424374"/>
          <a:ext cx="266108" cy="309261"/>
        </a:xfrm>
        <a:prstGeom prst="rect">
          <a:avLst/>
        </a:prstGeom>
      </xdr:spPr>
    </xdr:pic>
    <xdr:clientData/>
  </xdr:oneCellAnchor>
  <xdr:oneCellAnchor>
    <xdr:from>
      <xdr:col>3</xdr:col>
      <xdr:colOff>473582</xdr:colOff>
      <xdr:row>109</xdr:row>
      <xdr:rowOff>44578</xdr:rowOff>
    </xdr:from>
    <xdr:ext cx="250878" cy="354180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10800000">
          <a:off x="3578732" y="51384328"/>
          <a:ext cx="250878" cy="35418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103</xdr:row>
          <xdr:rowOff>76200</xdr:rowOff>
        </xdr:from>
        <xdr:to>
          <xdr:col>4</xdr:col>
          <xdr:colOff>180975</xdr:colOff>
          <xdr:row>103</xdr:row>
          <xdr:rowOff>428625</xdr:rowOff>
        </xdr:to>
        <xdr:sp macro="" textlink="">
          <xdr:nvSpPr>
            <xdr:cNvPr id="26626" name="Object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3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3</xdr:col>
      <xdr:colOff>431131</xdr:colOff>
      <xdr:row>49</xdr:row>
      <xdr:rowOff>50132</xdr:rowOff>
    </xdr:from>
    <xdr:ext cx="331370" cy="351225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36281" y="29091857"/>
          <a:ext cx="331370" cy="351225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50</xdr:row>
      <xdr:rowOff>60158</xdr:rowOff>
    </xdr:from>
    <xdr:ext cx="383507" cy="337606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486150" y="29559083"/>
          <a:ext cx="383507" cy="337606"/>
        </a:xfrm>
        <a:prstGeom prst="rect">
          <a:avLst/>
        </a:prstGeom>
      </xdr:spPr>
    </xdr:pic>
    <xdr:clientData/>
  </xdr:oneCellAnchor>
  <xdr:oneCellAnchor>
    <xdr:from>
      <xdr:col>3</xdr:col>
      <xdr:colOff>411079</xdr:colOff>
      <xdr:row>52</xdr:row>
      <xdr:rowOff>80210</xdr:rowOff>
    </xdr:from>
    <xdr:ext cx="351924" cy="337606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516229" y="30493535"/>
          <a:ext cx="351924" cy="337606"/>
        </a:xfrm>
        <a:prstGeom prst="rect">
          <a:avLst/>
        </a:prstGeom>
      </xdr:spPr>
    </xdr:pic>
    <xdr:clientData/>
  </xdr:oneCellAnchor>
  <xdr:oneCellAnchor>
    <xdr:from>
      <xdr:col>3</xdr:col>
      <xdr:colOff>360947</xdr:colOff>
      <xdr:row>51</xdr:row>
      <xdr:rowOff>60159</xdr:rowOff>
    </xdr:from>
    <xdr:ext cx="403559" cy="358082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466097" y="30016284"/>
          <a:ext cx="403559" cy="358082"/>
        </a:xfrm>
        <a:prstGeom prst="rect">
          <a:avLst/>
        </a:prstGeom>
      </xdr:spPr>
    </xdr:pic>
    <xdr:clientData/>
  </xdr:oneCellAnchor>
  <xdr:oneCellAnchor>
    <xdr:from>
      <xdr:col>3</xdr:col>
      <xdr:colOff>360948</xdr:colOff>
      <xdr:row>53</xdr:row>
      <xdr:rowOff>197989</xdr:rowOff>
    </xdr:from>
    <xdr:ext cx="402906" cy="101017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flipV="1">
          <a:off x="3466098" y="31068514"/>
          <a:ext cx="402906" cy="10101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54</xdr:row>
      <xdr:rowOff>86629</xdr:rowOff>
    </xdr:from>
    <xdr:ext cx="260684" cy="285277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516230" y="31414354"/>
          <a:ext cx="260684" cy="28527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55</xdr:row>
      <xdr:rowOff>135592</xdr:rowOff>
    </xdr:from>
    <xdr:ext cx="320842" cy="245840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516230" y="31920517"/>
          <a:ext cx="320842" cy="245840"/>
        </a:xfrm>
        <a:prstGeom prst="rect">
          <a:avLst/>
        </a:prstGeom>
      </xdr:spPr>
    </xdr:pic>
    <xdr:clientData/>
  </xdr:oneCellAnchor>
  <xdr:twoCellAnchor editAs="oneCell">
    <xdr:from>
      <xdr:col>3</xdr:col>
      <xdr:colOff>287099</xdr:colOff>
      <xdr:row>56</xdr:row>
      <xdr:rowOff>31673</xdr:rowOff>
    </xdr:from>
    <xdr:to>
      <xdr:col>3</xdr:col>
      <xdr:colOff>845461</xdr:colOff>
      <xdr:row>56</xdr:row>
      <xdr:rowOff>424666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92249" y="32273798"/>
          <a:ext cx="558362" cy="392993"/>
        </a:xfrm>
        <a:prstGeom prst="rect">
          <a:avLst/>
        </a:prstGeom>
      </xdr:spPr>
    </xdr:pic>
    <xdr:clientData/>
  </xdr:twoCellAnchor>
  <xdr:twoCellAnchor editAs="oneCell">
    <xdr:from>
      <xdr:col>3</xdr:col>
      <xdr:colOff>386806</xdr:colOff>
      <xdr:row>57</xdr:row>
      <xdr:rowOff>10949</xdr:rowOff>
    </xdr:from>
    <xdr:to>
      <xdr:col>3</xdr:col>
      <xdr:colOff>731520</xdr:colOff>
      <xdr:row>57</xdr:row>
      <xdr:rowOff>416718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491956" y="32710274"/>
          <a:ext cx="344714" cy="4057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357189</xdr:colOff>
      <xdr:row>58</xdr:row>
      <xdr:rowOff>42524</xdr:rowOff>
    </xdr:from>
    <xdr:to>
      <xdr:col>3</xdr:col>
      <xdr:colOff>816429</xdr:colOff>
      <xdr:row>58</xdr:row>
      <xdr:rowOff>447922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62339" y="33199049"/>
          <a:ext cx="459240" cy="405398"/>
        </a:xfrm>
        <a:prstGeom prst="rect">
          <a:avLst/>
        </a:prstGeom>
      </xdr:spPr>
    </xdr:pic>
    <xdr:clientData/>
  </xdr:twoCellAnchor>
  <xdr:twoCellAnchor editAs="oneCell">
    <xdr:from>
      <xdr:col>3</xdr:col>
      <xdr:colOff>246630</xdr:colOff>
      <xdr:row>60</xdr:row>
      <xdr:rowOff>59531</xdr:rowOff>
    </xdr:from>
    <xdr:to>
      <xdr:col>3</xdr:col>
      <xdr:colOff>935492</xdr:colOff>
      <xdr:row>60</xdr:row>
      <xdr:rowOff>446584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51780" y="34130456"/>
          <a:ext cx="688862" cy="387053"/>
        </a:xfrm>
        <a:prstGeom prst="rect">
          <a:avLst/>
        </a:prstGeom>
      </xdr:spPr>
    </xdr:pic>
    <xdr:clientData/>
  </xdr:twoCellAnchor>
  <xdr:twoCellAnchor editAs="oneCell">
    <xdr:from>
      <xdr:col>3</xdr:col>
      <xdr:colOff>358469</xdr:colOff>
      <xdr:row>59</xdr:row>
      <xdr:rowOff>71694</xdr:rowOff>
    </xdr:from>
    <xdr:to>
      <xdr:col>3</xdr:col>
      <xdr:colOff>782693</xdr:colOff>
      <xdr:row>59</xdr:row>
      <xdr:rowOff>450645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463619" y="33685419"/>
          <a:ext cx="424224" cy="378951"/>
        </a:xfrm>
        <a:prstGeom prst="rect">
          <a:avLst/>
        </a:prstGeom>
      </xdr:spPr>
    </xdr:pic>
    <xdr:clientData/>
  </xdr:twoCellAnchor>
  <xdr:oneCellAnchor>
    <xdr:from>
      <xdr:col>3</xdr:col>
      <xdr:colOff>293792</xdr:colOff>
      <xdr:row>230</xdr:row>
      <xdr:rowOff>78469</xdr:rowOff>
    </xdr:from>
    <xdr:ext cx="808121" cy="184484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398942" y="82164919"/>
          <a:ext cx="808121" cy="184484"/>
        </a:xfrm>
        <a:prstGeom prst="rect">
          <a:avLst/>
        </a:prstGeom>
      </xdr:spPr>
    </xdr:pic>
    <xdr:clientData/>
  </xdr:oneCellAnchor>
  <xdr:twoCellAnchor editAs="oneCell">
    <xdr:from>
      <xdr:col>3</xdr:col>
      <xdr:colOff>286774</xdr:colOff>
      <xdr:row>80</xdr:row>
      <xdr:rowOff>61452</xdr:rowOff>
    </xdr:from>
    <xdr:to>
      <xdr:col>3</xdr:col>
      <xdr:colOff>757903</xdr:colOff>
      <xdr:row>80</xdr:row>
      <xdr:rowOff>453816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391924" y="39256827"/>
          <a:ext cx="471129" cy="392364"/>
        </a:xfrm>
        <a:prstGeom prst="rect">
          <a:avLst/>
        </a:prstGeom>
      </xdr:spPr>
    </xdr:pic>
    <xdr:clientData/>
  </xdr:twoCellAnchor>
  <xdr:twoCellAnchor editAs="oneCell">
    <xdr:from>
      <xdr:col>3</xdr:col>
      <xdr:colOff>368709</xdr:colOff>
      <xdr:row>81</xdr:row>
      <xdr:rowOff>51211</xdr:rowOff>
    </xdr:from>
    <xdr:to>
      <xdr:col>3</xdr:col>
      <xdr:colOff>737420</xdr:colOff>
      <xdr:row>81</xdr:row>
      <xdr:rowOff>445705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73859" y="39713311"/>
          <a:ext cx="368711" cy="394494"/>
        </a:xfrm>
        <a:prstGeom prst="rect">
          <a:avLst/>
        </a:prstGeom>
      </xdr:spPr>
    </xdr:pic>
    <xdr:clientData/>
  </xdr:twoCellAnchor>
  <xdr:twoCellAnchor editAs="oneCell">
    <xdr:from>
      <xdr:col>3</xdr:col>
      <xdr:colOff>337984</xdr:colOff>
      <xdr:row>82</xdr:row>
      <xdr:rowOff>30726</xdr:rowOff>
    </xdr:from>
    <xdr:to>
      <xdr:col>3</xdr:col>
      <xdr:colOff>809113</xdr:colOff>
      <xdr:row>83</xdr:row>
      <xdr:rowOff>838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443134" y="40159551"/>
          <a:ext cx="471129" cy="431479"/>
        </a:xfrm>
        <a:prstGeom prst="rect">
          <a:avLst/>
        </a:prstGeom>
      </xdr:spPr>
    </xdr:pic>
    <xdr:clientData/>
  </xdr:twoCellAnchor>
  <xdr:twoCellAnchor editAs="oneCell">
    <xdr:from>
      <xdr:col>3</xdr:col>
      <xdr:colOff>307258</xdr:colOff>
      <xdr:row>83</xdr:row>
      <xdr:rowOff>51210</xdr:rowOff>
    </xdr:from>
    <xdr:to>
      <xdr:col>3</xdr:col>
      <xdr:colOff>829597</xdr:colOff>
      <xdr:row>84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412408" y="40646760"/>
          <a:ext cx="522339" cy="415792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140073</xdr:colOff>
      <xdr:row>87</xdr:row>
      <xdr:rowOff>98053</xdr:rowOff>
    </xdr:from>
    <xdr:to>
      <xdr:col>4</xdr:col>
      <xdr:colOff>97778</xdr:colOff>
      <xdr:row>87</xdr:row>
      <xdr:rowOff>420223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245223" y="42560503"/>
          <a:ext cx="925088" cy="322170"/>
        </a:xfrm>
        <a:prstGeom prst="rect">
          <a:avLst/>
        </a:prstGeom>
      </xdr:spPr>
    </xdr:pic>
    <xdr:clientData/>
  </xdr:twoCellAnchor>
  <xdr:twoCellAnchor editAs="oneCell">
    <xdr:from>
      <xdr:col>3</xdr:col>
      <xdr:colOff>126066</xdr:colOff>
      <xdr:row>86</xdr:row>
      <xdr:rowOff>98053</xdr:rowOff>
    </xdr:from>
    <xdr:to>
      <xdr:col>4</xdr:col>
      <xdr:colOff>73829</xdr:colOff>
      <xdr:row>86</xdr:row>
      <xdr:rowOff>434229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231216" y="42093778"/>
          <a:ext cx="915146" cy="336176"/>
        </a:xfrm>
        <a:prstGeom prst="rect">
          <a:avLst/>
        </a:prstGeom>
      </xdr:spPr>
    </xdr:pic>
    <xdr:clientData/>
  </xdr:twoCellAnchor>
  <xdr:twoCellAnchor editAs="oneCell">
    <xdr:from>
      <xdr:col>3</xdr:col>
      <xdr:colOff>84043</xdr:colOff>
      <xdr:row>88</xdr:row>
      <xdr:rowOff>56029</xdr:rowOff>
    </xdr:from>
    <xdr:to>
      <xdr:col>4</xdr:col>
      <xdr:colOff>154150</xdr:colOff>
      <xdr:row>89</xdr:row>
      <xdr:rowOff>875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189193" y="42985204"/>
          <a:ext cx="1037490" cy="406213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140074</xdr:colOff>
      <xdr:row>89</xdr:row>
      <xdr:rowOff>70038</xdr:rowOff>
    </xdr:from>
    <xdr:to>
      <xdr:col>4</xdr:col>
      <xdr:colOff>69161</xdr:colOff>
      <xdr:row>90</xdr:row>
      <xdr:rowOff>14842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245224" y="43465938"/>
          <a:ext cx="896470" cy="411529"/>
        </a:xfrm>
        <a:prstGeom prst="rect">
          <a:avLst/>
        </a:prstGeom>
      </xdr:spPr>
    </xdr:pic>
    <xdr:clientData/>
  </xdr:twoCellAnchor>
  <xdr:twoCellAnchor editAs="oneCell">
    <xdr:from>
      <xdr:col>3</xdr:col>
      <xdr:colOff>98051</xdr:colOff>
      <xdr:row>90</xdr:row>
      <xdr:rowOff>70037</xdr:rowOff>
    </xdr:from>
    <xdr:to>
      <xdr:col>4</xdr:col>
      <xdr:colOff>134715</xdr:colOff>
      <xdr:row>91</xdr:row>
      <xdr:rowOff>1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203201" y="43932662"/>
          <a:ext cx="1004047" cy="396688"/>
        </a:xfrm>
        <a:prstGeom prst="rect">
          <a:avLst/>
        </a:prstGeom>
      </xdr:spPr>
    </xdr:pic>
    <xdr:clientData/>
  </xdr:twoCellAnchor>
  <xdr:twoCellAnchor editAs="oneCell">
    <xdr:from>
      <xdr:col>3</xdr:col>
      <xdr:colOff>210110</xdr:colOff>
      <xdr:row>92</xdr:row>
      <xdr:rowOff>42022</xdr:rowOff>
    </xdr:from>
    <xdr:to>
      <xdr:col>3</xdr:col>
      <xdr:colOff>966507</xdr:colOff>
      <xdr:row>92</xdr:row>
      <xdr:rowOff>459153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3315260" y="44838097"/>
          <a:ext cx="756397" cy="417131"/>
        </a:xfrm>
        <a:prstGeom prst="rect">
          <a:avLst/>
        </a:prstGeom>
      </xdr:spPr>
    </xdr:pic>
    <xdr:clientData/>
  </xdr:twoCellAnchor>
  <xdr:twoCellAnchor editAs="oneCell">
    <xdr:from>
      <xdr:col>3</xdr:col>
      <xdr:colOff>294155</xdr:colOff>
      <xdr:row>102</xdr:row>
      <xdr:rowOff>126066</xdr:rowOff>
    </xdr:from>
    <xdr:to>
      <xdr:col>3</xdr:col>
      <xdr:colOff>967130</xdr:colOff>
      <xdr:row>102</xdr:row>
      <xdr:rowOff>448235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399305" y="48894066"/>
          <a:ext cx="672975" cy="322169"/>
        </a:xfrm>
        <a:prstGeom prst="rect">
          <a:avLst/>
        </a:prstGeom>
      </xdr:spPr>
    </xdr:pic>
    <xdr:clientData/>
  </xdr:twoCellAnchor>
  <xdr:twoCellAnchor editAs="oneCell">
    <xdr:from>
      <xdr:col>3</xdr:col>
      <xdr:colOff>336176</xdr:colOff>
      <xdr:row>35</xdr:row>
      <xdr:rowOff>42022</xdr:rowOff>
    </xdr:from>
    <xdr:to>
      <xdr:col>3</xdr:col>
      <xdr:colOff>704887</xdr:colOff>
      <xdr:row>35</xdr:row>
      <xdr:rowOff>436516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41326" y="16053547"/>
          <a:ext cx="368711" cy="394494"/>
        </a:xfrm>
        <a:prstGeom prst="rect">
          <a:avLst/>
        </a:prstGeom>
      </xdr:spPr>
    </xdr:pic>
    <xdr:clientData/>
  </xdr:twoCellAnchor>
  <xdr:twoCellAnchor editAs="oneCell">
    <xdr:from>
      <xdr:col>3</xdr:col>
      <xdr:colOff>307731</xdr:colOff>
      <xdr:row>36</xdr:row>
      <xdr:rowOff>21980</xdr:rowOff>
    </xdr:from>
    <xdr:to>
      <xdr:col>3</xdr:col>
      <xdr:colOff>778860</xdr:colOff>
      <xdr:row>37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412881" y="16490705"/>
          <a:ext cx="471129" cy="4314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363311</xdr:colOff>
      <xdr:row>5</xdr:row>
      <xdr:rowOff>54429</xdr:rowOff>
    </xdr:from>
    <xdr:ext cx="390343" cy="387926"/>
    <xdr:pic>
      <xdr:nvPicPr>
        <xdr:cNvPr id="195" name="Picture 56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9856" y="120907629"/>
          <a:ext cx="390343" cy="387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390525</xdr:colOff>
      <xdr:row>6</xdr:row>
      <xdr:rowOff>66675</xdr:rowOff>
    </xdr:from>
    <xdr:ext cx="371475" cy="371884"/>
    <xdr:pic>
      <xdr:nvPicPr>
        <xdr:cNvPr id="196" name="Picture 63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7070" y="121377075"/>
          <a:ext cx="371475" cy="371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7</xdr:row>
      <xdr:rowOff>47625</xdr:rowOff>
    </xdr:from>
    <xdr:ext cx="438150" cy="411173"/>
    <xdr:pic>
      <xdr:nvPicPr>
        <xdr:cNvPr id="197" name="Picture 61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2296" y="121815225"/>
          <a:ext cx="438150" cy="411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312966</xdr:colOff>
      <xdr:row>8</xdr:row>
      <xdr:rowOff>44905</xdr:rowOff>
    </xdr:from>
    <xdr:ext cx="383397" cy="342899"/>
    <xdr:pic>
      <xdr:nvPicPr>
        <xdr:cNvPr id="198" name="Picture 64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9511" y="122269705"/>
          <a:ext cx="383397" cy="34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352425</xdr:colOff>
      <xdr:row>9</xdr:row>
      <xdr:rowOff>9526</xdr:rowOff>
    </xdr:from>
    <xdr:ext cx="410284" cy="428624"/>
    <xdr:pic>
      <xdr:nvPicPr>
        <xdr:cNvPr id="199" name="Picture 66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8970" y="122691526"/>
          <a:ext cx="410284" cy="4286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371475</xdr:colOff>
      <xdr:row>10</xdr:row>
      <xdr:rowOff>38101</xdr:rowOff>
    </xdr:from>
    <xdr:ext cx="390525" cy="400050"/>
    <xdr:pic>
      <xdr:nvPicPr>
        <xdr:cNvPr id="200" name="Picture 67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8020" y="123177301"/>
          <a:ext cx="3905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295276</xdr:colOff>
      <xdr:row>11</xdr:row>
      <xdr:rowOff>0</xdr:rowOff>
    </xdr:from>
    <xdr:ext cx="464784" cy="409575"/>
    <xdr:pic>
      <xdr:nvPicPr>
        <xdr:cNvPr id="201" name="Picture 69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1821" y="123596400"/>
          <a:ext cx="464784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323851</xdr:colOff>
      <xdr:row>11</xdr:row>
      <xdr:rowOff>47625</xdr:rowOff>
    </xdr:from>
    <xdr:ext cx="413348" cy="390525"/>
    <xdr:pic>
      <xdr:nvPicPr>
        <xdr:cNvPr id="202" name="Picture 71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396" y="123644025"/>
          <a:ext cx="413348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26</xdr:row>
      <xdr:rowOff>57150</xdr:rowOff>
    </xdr:from>
    <xdr:ext cx="523875" cy="379364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1345" y="130511550"/>
          <a:ext cx="523875" cy="379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323851</xdr:colOff>
      <xdr:row>12</xdr:row>
      <xdr:rowOff>9526</xdr:rowOff>
    </xdr:from>
    <xdr:ext cx="438149" cy="450142"/>
    <xdr:pic>
      <xdr:nvPicPr>
        <xdr:cNvPr id="217" name="Picture 72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396" y="124063126"/>
          <a:ext cx="438149" cy="450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13</xdr:row>
      <xdr:rowOff>57150</xdr:rowOff>
    </xdr:from>
    <xdr:ext cx="449893" cy="361950"/>
    <xdr:pic>
      <xdr:nvPicPr>
        <xdr:cNvPr id="235" name="Picture 73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870" y="124567950"/>
          <a:ext cx="44989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257175</xdr:colOff>
      <xdr:row>14</xdr:row>
      <xdr:rowOff>76200</xdr:rowOff>
    </xdr:from>
    <xdr:ext cx="503238" cy="323850"/>
    <xdr:pic>
      <xdr:nvPicPr>
        <xdr:cNvPr id="236" name="Picture 74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3720" y="125044200"/>
          <a:ext cx="503238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352425</xdr:colOff>
      <xdr:row>15</xdr:row>
      <xdr:rowOff>19050</xdr:rowOff>
    </xdr:from>
    <xdr:ext cx="395111" cy="381000"/>
    <xdr:pic>
      <xdr:nvPicPr>
        <xdr:cNvPr id="237" name="Picture 76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8970" y="125444250"/>
          <a:ext cx="395111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238125</xdr:colOff>
      <xdr:row>16</xdr:row>
      <xdr:rowOff>114301</xdr:rowOff>
    </xdr:from>
    <xdr:ext cx="485775" cy="323849"/>
    <xdr:pic>
      <xdr:nvPicPr>
        <xdr:cNvPr id="238" name="Picture 77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4670" y="125996701"/>
          <a:ext cx="485775" cy="323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285751</xdr:colOff>
      <xdr:row>17</xdr:row>
      <xdr:rowOff>6804</xdr:rowOff>
    </xdr:from>
    <xdr:ext cx="445770" cy="371475"/>
    <xdr:pic>
      <xdr:nvPicPr>
        <xdr:cNvPr id="239" name="Picture 78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2296" y="126346404"/>
          <a:ext cx="4457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276225</xdr:colOff>
      <xdr:row>18</xdr:row>
      <xdr:rowOff>28575</xdr:rowOff>
    </xdr:from>
    <xdr:ext cx="466725" cy="373380"/>
    <xdr:pic>
      <xdr:nvPicPr>
        <xdr:cNvPr id="240" name="Picture 79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2770" y="126825375"/>
          <a:ext cx="466725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19</xdr:row>
      <xdr:rowOff>85725</xdr:rowOff>
    </xdr:from>
    <xdr:ext cx="352425" cy="325475"/>
    <xdr:pic>
      <xdr:nvPicPr>
        <xdr:cNvPr id="241" name="Picture 80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545" y="127339725"/>
          <a:ext cx="352425" cy="32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20</xdr:row>
      <xdr:rowOff>9525</xdr:rowOff>
    </xdr:from>
    <xdr:ext cx="447675" cy="421005"/>
    <xdr:pic>
      <xdr:nvPicPr>
        <xdr:cNvPr id="242" name="Picture 55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870" y="127720725"/>
          <a:ext cx="447675" cy="42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390526</xdr:colOff>
      <xdr:row>21</xdr:row>
      <xdr:rowOff>47625</xdr:rowOff>
    </xdr:from>
    <xdr:ext cx="371475" cy="371475"/>
    <xdr:pic>
      <xdr:nvPicPr>
        <xdr:cNvPr id="243" name="Picture 53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7071" y="12821602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381000</xdr:colOff>
      <xdr:row>22</xdr:row>
      <xdr:rowOff>38101</xdr:rowOff>
    </xdr:from>
    <xdr:ext cx="352425" cy="316961"/>
    <xdr:pic>
      <xdr:nvPicPr>
        <xdr:cNvPr id="244" name="Picture 81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545" y="128663701"/>
          <a:ext cx="352425" cy="316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314325</xdr:colOff>
      <xdr:row>23</xdr:row>
      <xdr:rowOff>95250</xdr:rowOff>
    </xdr:from>
    <xdr:ext cx="447675" cy="304800"/>
    <xdr:pic>
      <xdr:nvPicPr>
        <xdr:cNvPr id="245" name="Picture 55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870" y="129178050"/>
          <a:ext cx="4476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400050</xdr:colOff>
      <xdr:row>25</xdr:row>
      <xdr:rowOff>47625</xdr:rowOff>
    </xdr:from>
    <xdr:ext cx="361950" cy="331897"/>
    <xdr:pic>
      <xdr:nvPicPr>
        <xdr:cNvPr id="246" name="Picture 82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6595" y="130044825"/>
          <a:ext cx="361950" cy="3318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485775</xdr:colOff>
      <xdr:row>24</xdr:row>
      <xdr:rowOff>104775</xdr:rowOff>
    </xdr:from>
    <xdr:ext cx="251194" cy="257175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2320" y="129644775"/>
          <a:ext cx="251194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333376</xdr:colOff>
      <xdr:row>27</xdr:row>
      <xdr:rowOff>123825</xdr:rowOff>
    </xdr:from>
    <xdr:ext cx="383580" cy="238125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9921" y="131035425"/>
          <a:ext cx="38358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285749</xdr:colOff>
      <xdr:row>28</xdr:row>
      <xdr:rowOff>95904</xdr:rowOff>
    </xdr:from>
    <xdr:ext cx="474567" cy="256521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3472294" y="131464704"/>
          <a:ext cx="474567" cy="25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428626</xdr:colOff>
      <xdr:row>29</xdr:row>
      <xdr:rowOff>104775</xdr:rowOff>
    </xdr:from>
    <xdr:ext cx="304800" cy="276225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5171" y="13193077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342900</xdr:colOff>
      <xdr:row>38</xdr:row>
      <xdr:rowOff>95251</xdr:rowOff>
    </xdr:from>
    <xdr:ext cx="422578" cy="304799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9445" y="135121651"/>
          <a:ext cx="422578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314325</xdr:colOff>
      <xdr:row>39</xdr:row>
      <xdr:rowOff>114300</xdr:rowOff>
    </xdr:from>
    <xdr:ext cx="443865" cy="276890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870" y="135597900"/>
          <a:ext cx="443865" cy="276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352425</xdr:colOff>
      <xdr:row>30</xdr:row>
      <xdr:rowOff>123825</xdr:rowOff>
    </xdr:from>
    <xdr:ext cx="401411" cy="238125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8970" y="132407025"/>
          <a:ext cx="401411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238125</xdr:colOff>
      <xdr:row>31</xdr:row>
      <xdr:rowOff>114301</xdr:rowOff>
    </xdr:from>
    <xdr:ext cx="504825" cy="299472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4670" y="132854701"/>
          <a:ext cx="504825" cy="29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266700</xdr:colOff>
      <xdr:row>32</xdr:row>
      <xdr:rowOff>66675</xdr:rowOff>
    </xdr:from>
    <xdr:ext cx="457200" cy="333375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3245" y="133264275"/>
          <a:ext cx="457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300790</xdr:colOff>
      <xdr:row>71</xdr:row>
      <xdr:rowOff>140369</xdr:rowOff>
    </xdr:from>
    <xdr:ext cx="464218" cy="179668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87335" y="150503751"/>
          <a:ext cx="464218" cy="179668"/>
        </a:xfrm>
        <a:prstGeom prst="rect">
          <a:avLst/>
        </a:prstGeom>
      </xdr:spPr>
    </xdr:pic>
    <xdr:clientData/>
  </xdr:oneCellAnchor>
  <xdr:oneCellAnchor>
    <xdr:from>
      <xdr:col>3</xdr:col>
      <xdr:colOff>250659</xdr:colOff>
      <xdr:row>72</xdr:row>
      <xdr:rowOff>180474</xdr:rowOff>
    </xdr:from>
    <xdr:ext cx="550880" cy="110289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437204" y="151014910"/>
          <a:ext cx="550880" cy="110289"/>
        </a:xfrm>
        <a:prstGeom prst="rect">
          <a:avLst/>
        </a:prstGeom>
      </xdr:spPr>
    </xdr:pic>
    <xdr:clientData/>
  </xdr:oneCellAnchor>
  <xdr:oneCellAnchor>
    <xdr:from>
      <xdr:col>3</xdr:col>
      <xdr:colOff>190501</xdr:colOff>
      <xdr:row>73</xdr:row>
      <xdr:rowOff>167561</xdr:rowOff>
    </xdr:from>
    <xdr:ext cx="657726" cy="165772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377046" y="151473052"/>
          <a:ext cx="657726" cy="165772"/>
        </a:xfrm>
        <a:prstGeom prst="rect">
          <a:avLst/>
        </a:prstGeom>
      </xdr:spPr>
    </xdr:pic>
    <xdr:clientData/>
  </xdr:oneCellAnchor>
  <xdr:oneCellAnchor>
    <xdr:from>
      <xdr:col>3</xdr:col>
      <xdr:colOff>210554</xdr:colOff>
      <xdr:row>74</xdr:row>
      <xdr:rowOff>210311</xdr:rowOff>
    </xdr:from>
    <xdr:ext cx="747963" cy="181529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13860" y="36866198"/>
          <a:ext cx="747963" cy="181529"/>
        </a:xfrm>
        <a:prstGeom prst="rect">
          <a:avLst/>
        </a:prstGeom>
      </xdr:spPr>
    </xdr:pic>
    <xdr:clientData/>
  </xdr:oneCellAnchor>
  <xdr:oneCellAnchor>
    <xdr:from>
      <xdr:col>3</xdr:col>
      <xdr:colOff>202897</xdr:colOff>
      <xdr:row>75</xdr:row>
      <xdr:rowOff>167179</xdr:rowOff>
    </xdr:from>
    <xdr:ext cx="808121" cy="184484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06203" y="37294195"/>
          <a:ext cx="808121" cy="184484"/>
        </a:xfrm>
        <a:prstGeom prst="rect">
          <a:avLst/>
        </a:prstGeom>
      </xdr:spPr>
    </xdr:pic>
    <xdr:clientData/>
  </xdr:oneCellAnchor>
  <xdr:oneCellAnchor>
    <xdr:from>
      <xdr:col>3</xdr:col>
      <xdr:colOff>290763</xdr:colOff>
      <xdr:row>76</xdr:row>
      <xdr:rowOff>70185</xdr:rowOff>
    </xdr:from>
    <xdr:ext cx="507331" cy="320842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77308" y="152788840"/>
          <a:ext cx="507331" cy="320842"/>
        </a:xfrm>
        <a:prstGeom prst="rect">
          <a:avLst/>
        </a:prstGeom>
      </xdr:spPr>
    </xdr:pic>
    <xdr:clientData/>
  </xdr:oneCellAnchor>
  <xdr:oneCellAnchor>
    <xdr:from>
      <xdr:col>3</xdr:col>
      <xdr:colOff>370975</xdr:colOff>
      <xdr:row>77</xdr:row>
      <xdr:rowOff>50131</xdr:rowOff>
    </xdr:from>
    <xdr:ext cx="347920" cy="355827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557520" y="153239840"/>
          <a:ext cx="347920" cy="355827"/>
        </a:xfrm>
        <a:prstGeom prst="rect">
          <a:avLst/>
        </a:prstGeom>
      </xdr:spPr>
    </xdr:pic>
    <xdr:clientData/>
  </xdr:oneCellAnchor>
  <xdr:oneCellAnchor>
    <xdr:from>
      <xdr:col>3</xdr:col>
      <xdr:colOff>330868</xdr:colOff>
      <xdr:row>78</xdr:row>
      <xdr:rowOff>73640</xdr:rowOff>
    </xdr:from>
    <xdr:ext cx="431028" cy="291757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517413" y="153734404"/>
          <a:ext cx="431028" cy="291757"/>
        </a:xfrm>
        <a:prstGeom prst="rect">
          <a:avLst/>
        </a:prstGeom>
      </xdr:spPr>
    </xdr:pic>
    <xdr:clientData/>
  </xdr:oneCellAnchor>
  <xdr:oneCellAnchor>
    <xdr:from>
      <xdr:col>3</xdr:col>
      <xdr:colOff>260684</xdr:colOff>
      <xdr:row>79</xdr:row>
      <xdr:rowOff>90237</xdr:rowOff>
    </xdr:from>
    <xdr:ext cx="607595" cy="277652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47229" y="154222055"/>
          <a:ext cx="607595" cy="277652"/>
        </a:xfrm>
        <a:prstGeom prst="rect">
          <a:avLst/>
        </a:prstGeom>
      </xdr:spPr>
    </xdr:pic>
    <xdr:clientData/>
  </xdr:oneCellAnchor>
  <xdr:oneCellAnchor>
    <xdr:from>
      <xdr:col>3</xdr:col>
      <xdr:colOff>170447</xdr:colOff>
      <xdr:row>84</xdr:row>
      <xdr:rowOff>80210</xdr:rowOff>
    </xdr:from>
    <xdr:ext cx="798095" cy="233863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56992" y="156567301"/>
          <a:ext cx="798095" cy="233863"/>
        </a:xfrm>
        <a:prstGeom prst="rect">
          <a:avLst/>
        </a:prstGeom>
      </xdr:spPr>
    </xdr:pic>
    <xdr:clientData/>
  </xdr:oneCellAnchor>
  <xdr:oneCellAnchor>
    <xdr:from>
      <xdr:col>3</xdr:col>
      <xdr:colOff>180473</xdr:colOff>
      <xdr:row>85</xdr:row>
      <xdr:rowOff>170449</xdr:rowOff>
    </xdr:from>
    <xdr:ext cx="780611" cy="110288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367018" y="157128594"/>
          <a:ext cx="780611" cy="110288"/>
        </a:xfrm>
        <a:prstGeom prst="rect">
          <a:avLst/>
        </a:prstGeom>
      </xdr:spPr>
    </xdr:pic>
    <xdr:clientData/>
  </xdr:oneCellAnchor>
  <xdr:oneCellAnchor>
    <xdr:from>
      <xdr:col>3</xdr:col>
      <xdr:colOff>461210</xdr:colOff>
      <xdr:row>91</xdr:row>
      <xdr:rowOff>70186</xdr:rowOff>
    </xdr:from>
    <xdr:ext cx="301792" cy="357226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647755" y="160325713"/>
          <a:ext cx="301792" cy="357226"/>
        </a:xfrm>
        <a:prstGeom prst="rect">
          <a:avLst/>
        </a:prstGeom>
      </xdr:spPr>
    </xdr:pic>
    <xdr:clientData/>
  </xdr:oneCellAnchor>
  <xdr:oneCellAnchor>
    <xdr:from>
      <xdr:col>3</xdr:col>
      <xdr:colOff>326572</xdr:colOff>
      <xdr:row>44</xdr:row>
      <xdr:rowOff>45465</xdr:rowOff>
    </xdr:from>
    <xdr:ext cx="425903" cy="350743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117" y="137815065"/>
          <a:ext cx="425903" cy="350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276226</xdr:colOff>
      <xdr:row>43</xdr:row>
      <xdr:rowOff>114300</xdr:rowOff>
    </xdr:from>
    <xdr:ext cx="540544" cy="266700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2771" y="137426700"/>
          <a:ext cx="540544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394423</xdr:colOff>
      <xdr:row>42</xdr:row>
      <xdr:rowOff>100879</xdr:rowOff>
    </xdr:from>
    <xdr:ext cx="458050" cy="318224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650881" y="136886166"/>
          <a:ext cx="318224" cy="45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142877</xdr:colOff>
      <xdr:row>47</xdr:row>
      <xdr:rowOff>76201</xdr:rowOff>
    </xdr:from>
    <xdr:ext cx="756394" cy="257174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9422" y="143221365"/>
          <a:ext cx="75639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250371</xdr:colOff>
      <xdr:row>96</xdr:row>
      <xdr:rowOff>43543</xdr:rowOff>
    </xdr:from>
    <xdr:ext cx="671763" cy="372743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436916" y="162224852"/>
          <a:ext cx="671763" cy="372743"/>
        </a:xfrm>
        <a:prstGeom prst="rect">
          <a:avLst/>
        </a:prstGeom>
      </xdr:spPr>
    </xdr:pic>
    <xdr:clientData/>
  </xdr:oneCellAnchor>
  <xdr:oneCellAnchor>
    <xdr:from>
      <xdr:col>3</xdr:col>
      <xdr:colOff>235964</xdr:colOff>
      <xdr:row>99</xdr:row>
      <xdr:rowOff>49307</xdr:rowOff>
    </xdr:from>
    <xdr:ext cx="646578" cy="372680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2509" y="162743234"/>
          <a:ext cx="646578" cy="372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189380</xdr:colOff>
      <xdr:row>100</xdr:row>
      <xdr:rowOff>179294</xdr:rowOff>
    </xdr:from>
    <xdr:ext cx="643175" cy="224117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5925" y="163385839"/>
          <a:ext cx="643175" cy="224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319018</xdr:colOff>
      <xdr:row>101</xdr:row>
      <xdr:rowOff>80122</xdr:rowOff>
    </xdr:from>
    <xdr:ext cx="381909" cy="330045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505563" y="163799286"/>
          <a:ext cx="381909" cy="330045"/>
        </a:xfrm>
        <a:prstGeom prst="rect">
          <a:avLst/>
        </a:prstGeom>
      </xdr:spPr>
    </xdr:pic>
    <xdr:clientData/>
  </xdr:oneCellAnchor>
  <xdr:oneCellAnchor>
    <xdr:from>
      <xdr:col>3</xdr:col>
      <xdr:colOff>459405</xdr:colOff>
      <xdr:row>104</xdr:row>
      <xdr:rowOff>128954</xdr:rowOff>
    </xdr:from>
    <xdr:ext cx="373683" cy="278679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645950" y="165385972"/>
          <a:ext cx="373683" cy="278679"/>
        </a:xfrm>
        <a:prstGeom prst="rect">
          <a:avLst/>
        </a:prstGeom>
      </xdr:spPr>
    </xdr:pic>
    <xdr:clientData/>
  </xdr:oneCellAnchor>
  <xdr:oneCellAnchor>
    <xdr:from>
      <xdr:col>3</xdr:col>
      <xdr:colOff>509030</xdr:colOff>
      <xdr:row>105</xdr:row>
      <xdr:rowOff>113324</xdr:rowOff>
    </xdr:from>
    <xdr:ext cx="266108" cy="309261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695575" y="165882960"/>
          <a:ext cx="266108" cy="309261"/>
        </a:xfrm>
        <a:prstGeom prst="rect">
          <a:avLst/>
        </a:prstGeom>
      </xdr:spPr>
    </xdr:pic>
    <xdr:clientData/>
  </xdr:oneCellAnchor>
  <xdr:oneCellAnchor>
    <xdr:from>
      <xdr:col>3</xdr:col>
      <xdr:colOff>473582</xdr:colOff>
      <xdr:row>109</xdr:row>
      <xdr:rowOff>44578</xdr:rowOff>
    </xdr:from>
    <xdr:ext cx="250878" cy="354180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10800000">
          <a:off x="3660127" y="167352069"/>
          <a:ext cx="250878" cy="354180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257175</xdr:colOff>
          <xdr:row>103</xdr:row>
          <xdr:rowOff>76200</xdr:rowOff>
        </xdr:from>
        <xdr:to>
          <xdr:col>3</xdr:col>
          <xdr:colOff>1162050</xdr:colOff>
          <xdr:row>103</xdr:row>
          <xdr:rowOff>428625</xdr:rowOff>
        </xdr:to>
        <xdr:sp macro="" textlink="">
          <xdr:nvSpPr>
            <xdr:cNvPr id="22531" name="Object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3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3</xdr:col>
      <xdr:colOff>431131</xdr:colOff>
      <xdr:row>49</xdr:row>
      <xdr:rowOff>50132</xdr:rowOff>
    </xdr:from>
    <xdr:ext cx="331370" cy="351225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617676" y="146284859"/>
          <a:ext cx="331370" cy="351225"/>
        </a:xfrm>
        <a:prstGeom prst="rect">
          <a:avLst/>
        </a:prstGeom>
      </xdr:spPr>
    </xdr:pic>
    <xdr:clientData/>
  </xdr:oneCellAnchor>
  <xdr:oneCellAnchor>
    <xdr:from>
      <xdr:col>3</xdr:col>
      <xdr:colOff>381000</xdr:colOff>
      <xdr:row>50</xdr:row>
      <xdr:rowOff>60158</xdr:rowOff>
    </xdr:from>
    <xdr:ext cx="383507" cy="337606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67545" y="146752085"/>
          <a:ext cx="383507" cy="337606"/>
        </a:xfrm>
        <a:prstGeom prst="rect">
          <a:avLst/>
        </a:prstGeom>
      </xdr:spPr>
    </xdr:pic>
    <xdr:clientData/>
  </xdr:oneCellAnchor>
  <xdr:oneCellAnchor>
    <xdr:from>
      <xdr:col>3</xdr:col>
      <xdr:colOff>411079</xdr:colOff>
      <xdr:row>52</xdr:row>
      <xdr:rowOff>80210</xdr:rowOff>
    </xdr:from>
    <xdr:ext cx="351924" cy="337606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597624" y="147686537"/>
          <a:ext cx="351924" cy="337606"/>
        </a:xfrm>
        <a:prstGeom prst="rect">
          <a:avLst/>
        </a:prstGeom>
      </xdr:spPr>
    </xdr:pic>
    <xdr:clientData/>
  </xdr:oneCellAnchor>
  <xdr:oneCellAnchor>
    <xdr:from>
      <xdr:col>3</xdr:col>
      <xdr:colOff>360947</xdr:colOff>
      <xdr:row>51</xdr:row>
      <xdr:rowOff>60159</xdr:rowOff>
    </xdr:from>
    <xdr:ext cx="403559" cy="358082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547492" y="147209286"/>
          <a:ext cx="403559" cy="358082"/>
        </a:xfrm>
        <a:prstGeom prst="rect">
          <a:avLst/>
        </a:prstGeom>
      </xdr:spPr>
    </xdr:pic>
    <xdr:clientData/>
  </xdr:oneCellAnchor>
  <xdr:oneCellAnchor>
    <xdr:from>
      <xdr:col>3</xdr:col>
      <xdr:colOff>360948</xdr:colOff>
      <xdr:row>53</xdr:row>
      <xdr:rowOff>197989</xdr:rowOff>
    </xdr:from>
    <xdr:ext cx="402906" cy="101017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flipV="1">
          <a:off x="3547493" y="148261516"/>
          <a:ext cx="402906" cy="10101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54</xdr:row>
      <xdr:rowOff>86629</xdr:rowOff>
    </xdr:from>
    <xdr:ext cx="260684" cy="285277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597625" y="148607356"/>
          <a:ext cx="260684" cy="285277"/>
        </a:xfrm>
        <a:prstGeom prst="rect">
          <a:avLst/>
        </a:prstGeom>
      </xdr:spPr>
    </xdr:pic>
    <xdr:clientData/>
  </xdr:oneCellAnchor>
  <xdr:oneCellAnchor>
    <xdr:from>
      <xdr:col>3</xdr:col>
      <xdr:colOff>411080</xdr:colOff>
      <xdr:row>55</xdr:row>
      <xdr:rowOff>135592</xdr:rowOff>
    </xdr:from>
    <xdr:ext cx="320842" cy="245840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520390" y="32542489"/>
          <a:ext cx="320842" cy="245840"/>
        </a:xfrm>
        <a:prstGeom prst="rect">
          <a:avLst/>
        </a:prstGeom>
      </xdr:spPr>
    </xdr:pic>
    <xdr:clientData/>
  </xdr:oneCellAnchor>
  <xdr:twoCellAnchor editAs="oneCell">
    <xdr:from>
      <xdr:col>3</xdr:col>
      <xdr:colOff>287099</xdr:colOff>
      <xdr:row>56</xdr:row>
      <xdr:rowOff>31673</xdr:rowOff>
    </xdr:from>
    <xdr:to>
      <xdr:col>3</xdr:col>
      <xdr:colOff>845461</xdr:colOff>
      <xdr:row>56</xdr:row>
      <xdr:rowOff>424666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99733" y="32391160"/>
          <a:ext cx="558362" cy="392993"/>
        </a:xfrm>
        <a:prstGeom prst="rect">
          <a:avLst/>
        </a:prstGeom>
      </xdr:spPr>
    </xdr:pic>
    <xdr:clientData/>
  </xdr:twoCellAnchor>
  <xdr:twoCellAnchor editAs="oneCell">
    <xdr:from>
      <xdr:col>3</xdr:col>
      <xdr:colOff>386806</xdr:colOff>
      <xdr:row>57</xdr:row>
      <xdr:rowOff>10949</xdr:rowOff>
    </xdr:from>
    <xdr:to>
      <xdr:col>3</xdr:col>
      <xdr:colOff>731520</xdr:colOff>
      <xdr:row>57</xdr:row>
      <xdr:rowOff>416718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99440" y="32829677"/>
          <a:ext cx="344714" cy="405769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357189</xdr:colOff>
      <xdr:row>58</xdr:row>
      <xdr:rowOff>42524</xdr:rowOff>
    </xdr:from>
    <xdr:to>
      <xdr:col>3</xdr:col>
      <xdr:colOff>816429</xdr:colOff>
      <xdr:row>58</xdr:row>
      <xdr:rowOff>447922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469823" y="33320493"/>
          <a:ext cx="459240" cy="405398"/>
        </a:xfrm>
        <a:prstGeom prst="rect">
          <a:avLst/>
        </a:prstGeom>
      </xdr:spPr>
    </xdr:pic>
    <xdr:clientData/>
  </xdr:twoCellAnchor>
  <xdr:twoCellAnchor editAs="oneCell">
    <xdr:from>
      <xdr:col>3</xdr:col>
      <xdr:colOff>246630</xdr:colOff>
      <xdr:row>60</xdr:row>
      <xdr:rowOff>59531</xdr:rowOff>
    </xdr:from>
    <xdr:to>
      <xdr:col>3</xdr:col>
      <xdr:colOff>935492</xdr:colOff>
      <xdr:row>60</xdr:row>
      <xdr:rowOff>446584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59264" y="33796741"/>
          <a:ext cx="688862" cy="387053"/>
        </a:xfrm>
        <a:prstGeom prst="rect">
          <a:avLst/>
        </a:prstGeom>
      </xdr:spPr>
    </xdr:pic>
    <xdr:clientData/>
  </xdr:twoCellAnchor>
  <xdr:twoCellAnchor editAs="oneCell">
    <xdr:from>
      <xdr:col>3</xdr:col>
      <xdr:colOff>358469</xdr:colOff>
      <xdr:row>59</xdr:row>
      <xdr:rowOff>71694</xdr:rowOff>
    </xdr:from>
    <xdr:to>
      <xdr:col>3</xdr:col>
      <xdr:colOff>782693</xdr:colOff>
      <xdr:row>59</xdr:row>
      <xdr:rowOff>450645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461775" y="33921291"/>
          <a:ext cx="424224" cy="378951"/>
        </a:xfrm>
        <a:prstGeom prst="rect">
          <a:avLst/>
        </a:prstGeom>
      </xdr:spPr>
    </xdr:pic>
    <xdr:clientData/>
  </xdr:twoCellAnchor>
  <xdr:oneCellAnchor>
    <xdr:from>
      <xdr:col>3</xdr:col>
      <xdr:colOff>293792</xdr:colOff>
      <xdr:row>230</xdr:row>
      <xdr:rowOff>78469</xdr:rowOff>
    </xdr:from>
    <xdr:ext cx="808121" cy="184484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7098" y="151945888"/>
          <a:ext cx="808121" cy="184484"/>
        </a:xfrm>
        <a:prstGeom prst="rect">
          <a:avLst/>
        </a:prstGeom>
      </xdr:spPr>
    </xdr:pic>
    <xdr:clientData/>
  </xdr:oneCellAnchor>
  <xdr:twoCellAnchor editAs="oneCell">
    <xdr:from>
      <xdr:col>3</xdr:col>
      <xdr:colOff>286774</xdr:colOff>
      <xdr:row>80</xdr:row>
      <xdr:rowOff>61452</xdr:rowOff>
    </xdr:from>
    <xdr:to>
      <xdr:col>3</xdr:col>
      <xdr:colOff>757903</xdr:colOff>
      <xdr:row>80</xdr:row>
      <xdr:rowOff>453816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080" y="39544113"/>
          <a:ext cx="471129" cy="392364"/>
        </a:xfrm>
        <a:prstGeom prst="rect">
          <a:avLst/>
        </a:prstGeom>
      </xdr:spPr>
    </xdr:pic>
    <xdr:clientData/>
  </xdr:twoCellAnchor>
  <xdr:twoCellAnchor editAs="oneCell">
    <xdr:from>
      <xdr:col>3</xdr:col>
      <xdr:colOff>368709</xdr:colOff>
      <xdr:row>81</xdr:row>
      <xdr:rowOff>51211</xdr:rowOff>
    </xdr:from>
    <xdr:to>
      <xdr:col>3</xdr:col>
      <xdr:colOff>737420</xdr:colOff>
      <xdr:row>81</xdr:row>
      <xdr:rowOff>445705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472015" y="40005001"/>
          <a:ext cx="368711" cy="394494"/>
        </a:xfrm>
        <a:prstGeom prst="rect">
          <a:avLst/>
        </a:prstGeom>
      </xdr:spPr>
    </xdr:pic>
    <xdr:clientData/>
  </xdr:twoCellAnchor>
  <xdr:twoCellAnchor editAs="oneCell">
    <xdr:from>
      <xdr:col>3</xdr:col>
      <xdr:colOff>337984</xdr:colOff>
      <xdr:row>82</xdr:row>
      <xdr:rowOff>30726</xdr:rowOff>
    </xdr:from>
    <xdr:to>
      <xdr:col>3</xdr:col>
      <xdr:colOff>809113</xdr:colOff>
      <xdr:row>83</xdr:row>
      <xdr:rowOff>1319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441290" y="40455645"/>
          <a:ext cx="471129" cy="431479"/>
        </a:xfrm>
        <a:prstGeom prst="rect">
          <a:avLst/>
        </a:prstGeom>
      </xdr:spPr>
    </xdr:pic>
    <xdr:clientData/>
  </xdr:twoCellAnchor>
  <xdr:twoCellAnchor editAs="oneCell">
    <xdr:from>
      <xdr:col>3</xdr:col>
      <xdr:colOff>307258</xdr:colOff>
      <xdr:row>83</xdr:row>
      <xdr:rowOff>51210</xdr:rowOff>
    </xdr:from>
    <xdr:to>
      <xdr:col>3</xdr:col>
      <xdr:colOff>829597</xdr:colOff>
      <xdr:row>84</xdr:row>
      <xdr:rowOff>276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410564" y="40947258"/>
          <a:ext cx="522339" cy="411310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140073</xdr:colOff>
      <xdr:row>87</xdr:row>
      <xdr:rowOff>98053</xdr:rowOff>
    </xdr:from>
    <xdr:to>
      <xdr:col>3</xdr:col>
      <xdr:colOff>1065161</xdr:colOff>
      <xdr:row>87</xdr:row>
      <xdr:rowOff>420223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249705" y="42820479"/>
          <a:ext cx="925088" cy="322170"/>
        </a:xfrm>
        <a:prstGeom prst="rect">
          <a:avLst/>
        </a:prstGeom>
      </xdr:spPr>
    </xdr:pic>
    <xdr:clientData/>
  </xdr:twoCellAnchor>
  <xdr:twoCellAnchor editAs="oneCell">
    <xdr:from>
      <xdr:col>3</xdr:col>
      <xdr:colOff>126066</xdr:colOff>
      <xdr:row>86</xdr:row>
      <xdr:rowOff>98053</xdr:rowOff>
    </xdr:from>
    <xdr:to>
      <xdr:col>3</xdr:col>
      <xdr:colOff>1041212</xdr:colOff>
      <xdr:row>86</xdr:row>
      <xdr:rowOff>434229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3235698" y="42358237"/>
          <a:ext cx="915146" cy="336176"/>
        </a:xfrm>
        <a:prstGeom prst="rect">
          <a:avLst/>
        </a:prstGeom>
      </xdr:spPr>
    </xdr:pic>
    <xdr:clientData/>
  </xdr:twoCellAnchor>
  <xdr:twoCellAnchor editAs="oneCell">
    <xdr:from>
      <xdr:col>3</xdr:col>
      <xdr:colOff>84043</xdr:colOff>
      <xdr:row>88</xdr:row>
      <xdr:rowOff>56029</xdr:rowOff>
    </xdr:from>
    <xdr:to>
      <xdr:col>3</xdr:col>
      <xdr:colOff>1121533</xdr:colOff>
      <xdr:row>89</xdr:row>
      <xdr:rowOff>1355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193675" y="43240698"/>
          <a:ext cx="1037490" cy="406213"/>
        </a:xfrm>
        <a:prstGeom prst="rect">
          <a:avLst/>
        </a:prstGeom>
      </xdr:spPr>
    </xdr:pic>
    <xdr:clientData/>
  </xdr:twoCellAnchor>
  <xdr:twoCellAnchor editAs="oneCell">
    <xdr:from>
      <xdr:col>3</xdr:col>
      <xdr:colOff>140074</xdr:colOff>
      <xdr:row>89</xdr:row>
      <xdr:rowOff>70038</xdr:rowOff>
    </xdr:from>
    <xdr:to>
      <xdr:col>3</xdr:col>
      <xdr:colOff>1036544</xdr:colOff>
      <xdr:row>90</xdr:row>
      <xdr:rowOff>14842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249706" y="43716950"/>
          <a:ext cx="896470" cy="407046"/>
        </a:xfrm>
        <a:prstGeom prst="rect">
          <a:avLst/>
        </a:prstGeom>
      </xdr:spPr>
    </xdr:pic>
    <xdr:clientData/>
  </xdr:twoCellAnchor>
  <xdr:twoCellAnchor editAs="oneCell">
    <xdr:from>
      <xdr:col>3</xdr:col>
      <xdr:colOff>98051</xdr:colOff>
      <xdr:row>90</xdr:row>
      <xdr:rowOff>70037</xdr:rowOff>
    </xdr:from>
    <xdr:to>
      <xdr:col>3</xdr:col>
      <xdr:colOff>1102098</xdr:colOff>
      <xdr:row>91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207683" y="44179191"/>
          <a:ext cx="1004047" cy="392206"/>
        </a:xfrm>
        <a:prstGeom prst="rect">
          <a:avLst/>
        </a:prstGeom>
      </xdr:spPr>
    </xdr:pic>
    <xdr:clientData/>
  </xdr:twoCellAnchor>
  <xdr:twoCellAnchor editAs="oneCell">
    <xdr:from>
      <xdr:col>3</xdr:col>
      <xdr:colOff>210110</xdr:colOff>
      <xdr:row>92</xdr:row>
      <xdr:rowOff>42022</xdr:rowOff>
    </xdr:from>
    <xdr:to>
      <xdr:col>3</xdr:col>
      <xdr:colOff>966507</xdr:colOff>
      <xdr:row>92</xdr:row>
      <xdr:rowOff>459153</xdr:rowOff>
    </xdr:to>
    <xdr:pic>
      <xdr:nvPicPr>
        <xdr:cNvPr id="282" name="Picture 281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319742" y="45075662"/>
          <a:ext cx="756397" cy="417131"/>
        </a:xfrm>
        <a:prstGeom prst="rect">
          <a:avLst/>
        </a:prstGeom>
      </xdr:spPr>
    </xdr:pic>
    <xdr:clientData/>
  </xdr:twoCellAnchor>
  <xdr:twoCellAnchor editAs="oneCell">
    <xdr:from>
      <xdr:col>3</xdr:col>
      <xdr:colOff>294155</xdr:colOff>
      <xdr:row>102</xdr:row>
      <xdr:rowOff>126066</xdr:rowOff>
    </xdr:from>
    <xdr:to>
      <xdr:col>3</xdr:col>
      <xdr:colOff>967130</xdr:colOff>
      <xdr:row>102</xdr:row>
      <xdr:rowOff>448235</xdr:rowOff>
    </xdr:to>
    <xdr:pic>
      <xdr:nvPicPr>
        <xdr:cNvPr id="286" name="Picture 285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403787" y="49137794"/>
          <a:ext cx="672975" cy="322169"/>
        </a:xfrm>
        <a:prstGeom prst="rect">
          <a:avLst/>
        </a:prstGeom>
      </xdr:spPr>
    </xdr:pic>
    <xdr:clientData/>
  </xdr:twoCellAnchor>
  <xdr:twoCellAnchor editAs="oneCell">
    <xdr:from>
      <xdr:col>3</xdr:col>
      <xdr:colOff>336176</xdr:colOff>
      <xdr:row>35</xdr:row>
      <xdr:rowOff>42022</xdr:rowOff>
    </xdr:from>
    <xdr:to>
      <xdr:col>3</xdr:col>
      <xdr:colOff>704887</xdr:colOff>
      <xdr:row>35</xdr:row>
      <xdr:rowOff>436516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445808" y="16206507"/>
          <a:ext cx="368711" cy="394494"/>
        </a:xfrm>
        <a:prstGeom prst="rect">
          <a:avLst/>
        </a:prstGeom>
      </xdr:spPr>
    </xdr:pic>
    <xdr:clientData/>
  </xdr:twoCellAnchor>
  <xdr:twoCellAnchor editAs="oneCell">
    <xdr:from>
      <xdr:col>3</xdr:col>
      <xdr:colOff>307731</xdr:colOff>
      <xdr:row>36</xdr:row>
      <xdr:rowOff>21980</xdr:rowOff>
    </xdr:from>
    <xdr:to>
      <xdr:col>3</xdr:col>
      <xdr:colOff>778860</xdr:colOff>
      <xdr:row>36</xdr:row>
      <xdr:rowOff>453459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407019" y="16404980"/>
          <a:ext cx="471129" cy="431479"/>
        </a:xfrm>
        <a:prstGeom prst="rect">
          <a:avLst/>
        </a:prstGeom>
      </xdr:spPr>
    </xdr:pic>
    <xdr:clientData/>
  </xdr:twoCellAnchor>
  <xdr:oneCellAnchor>
    <xdr:from>
      <xdr:col>3</xdr:col>
      <xdr:colOff>333374</xdr:colOff>
      <xdr:row>33</xdr:row>
      <xdr:rowOff>180975</xdr:rowOff>
    </xdr:from>
    <xdr:ext cx="238125" cy="178594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4" y="15649575"/>
          <a:ext cx="238125" cy="178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03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03.emf"/><Relationship Id="rId4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3.emf"/><Relationship Id="rId4" Type="http://schemas.openxmlformats.org/officeDocument/2006/relationships/oleObject" Target="../embeddings/oleObject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zoomScaleNormal="100" workbookViewId="0">
      <pane xSplit="4" ySplit="3" topLeftCell="E16" activePane="bottomRight" state="frozen"/>
      <selection pane="topRight" activeCell="G1" sqref="G1"/>
      <selection pane="bottomLeft" activeCell="A4" sqref="A4"/>
      <selection pane="bottomRight" activeCell="A22" sqref="A22:XFD22"/>
    </sheetView>
  </sheetViews>
  <sheetFormatPr defaultColWidth="9.140625" defaultRowHeight="16.5"/>
  <cols>
    <col min="1" max="1" width="7.7109375" style="2" customWidth="1"/>
    <col min="2" max="2" width="36" style="1" customWidth="1"/>
    <col min="3" max="3" width="21" style="2" customWidth="1"/>
    <col min="4" max="4" width="22.28515625" style="2" customWidth="1"/>
    <col min="5" max="5" width="18.140625" style="35" customWidth="1"/>
    <col min="6" max="6" width="5.42578125" style="2" customWidth="1"/>
    <col min="7" max="16384" width="9.140625" style="2"/>
  </cols>
  <sheetData>
    <row r="1" spans="1:5" ht="46.5" customHeight="1">
      <c r="B1" s="26" t="s">
        <v>263</v>
      </c>
      <c r="C1" s="22"/>
      <c r="D1" s="38" t="s">
        <v>264</v>
      </c>
    </row>
    <row r="2" spans="1:5" ht="21.75" customHeight="1">
      <c r="A2" s="25" t="s">
        <v>244</v>
      </c>
      <c r="B2" s="24" t="s">
        <v>241</v>
      </c>
      <c r="C2" s="25" t="s">
        <v>242</v>
      </c>
      <c r="D2" s="25" t="s">
        <v>243</v>
      </c>
      <c r="E2" s="25" t="s">
        <v>228</v>
      </c>
    </row>
    <row r="3" spans="1:5" ht="30.75" customHeight="1">
      <c r="A3" s="7">
        <v>1</v>
      </c>
      <c r="B3" s="27" t="s">
        <v>121</v>
      </c>
      <c r="C3" s="27"/>
      <c r="D3" s="27"/>
      <c r="E3" s="37"/>
    </row>
    <row r="4" spans="1:5" ht="36" customHeight="1">
      <c r="A4" s="7">
        <v>2</v>
      </c>
      <c r="B4" s="6" t="s">
        <v>122</v>
      </c>
      <c r="C4" s="7" t="s">
        <v>123</v>
      </c>
      <c r="D4" s="7"/>
      <c r="E4" s="36">
        <v>6</v>
      </c>
    </row>
    <row r="5" spans="1:5" ht="36" customHeight="1">
      <c r="A5" s="7">
        <v>3</v>
      </c>
      <c r="B5" s="6" t="s">
        <v>124</v>
      </c>
      <c r="C5" s="7" t="s">
        <v>125</v>
      </c>
      <c r="D5" s="7"/>
      <c r="E5" s="36">
        <v>2</v>
      </c>
    </row>
    <row r="6" spans="1:5" ht="36" customHeight="1">
      <c r="A6" s="7">
        <v>4</v>
      </c>
      <c r="B6" s="6" t="s">
        <v>126</v>
      </c>
      <c r="C6" s="7" t="s">
        <v>127</v>
      </c>
      <c r="D6" s="7"/>
      <c r="E6" s="36">
        <v>8</v>
      </c>
    </row>
    <row r="7" spans="1:5" ht="36" customHeight="1">
      <c r="A7" s="7">
        <v>5</v>
      </c>
      <c r="B7" s="6" t="s">
        <v>128</v>
      </c>
      <c r="C7" s="7" t="s">
        <v>129</v>
      </c>
      <c r="D7" s="7"/>
      <c r="E7" s="36">
        <v>3</v>
      </c>
    </row>
    <row r="8" spans="1:5" ht="36" customHeight="1">
      <c r="A8" s="7">
        <v>6</v>
      </c>
      <c r="B8" s="6" t="s">
        <v>194</v>
      </c>
      <c r="C8" s="7" t="s">
        <v>130</v>
      </c>
      <c r="D8" s="7"/>
      <c r="E8" s="36">
        <v>5</v>
      </c>
    </row>
    <row r="9" spans="1:5" ht="36" customHeight="1">
      <c r="A9" s="7">
        <v>7</v>
      </c>
      <c r="B9" s="6" t="s">
        <v>131</v>
      </c>
      <c r="C9" s="7" t="s">
        <v>132</v>
      </c>
      <c r="D9" s="7"/>
      <c r="E9" s="36">
        <v>6</v>
      </c>
    </row>
    <row r="10" spans="1:5" ht="36" customHeight="1">
      <c r="A10" s="7">
        <v>8</v>
      </c>
      <c r="B10" s="6" t="s">
        <v>133</v>
      </c>
      <c r="C10" s="7" t="s">
        <v>135</v>
      </c>
      <c r="D10" s="7"/>
      <c r="E10" s="36">
        <v>0</v>
      </c>
    </row>
    <row r="11" spans="1:5" ht="36" customHeight="1">
      <c r="A11" s="7">
        <v>9</v>
      </c>
      <c r="B11" s="6" t="s">
        <v>3</v>
      </c>
      <c r="C11" s="7" t="s">
        <v>136</v>
      </c>
      <c r="D11" s="7"/>
      <c r="E11" s="36">
        <v>22</v>
      </c>
    </row>
    <row r="12" spans="1:5" ht="36" customHeight="1">
      <c r="A12" s="7">
        <v>10</v>
      </c>
      <c r="B12" s="6" t="s">
        <v>192</v>
      </c>
      <c r="C12" s="7" t="s">
        <v>134</v>
      </c>
      <c r="D12" s="7"/>
      <c r="E12" s="36">
        <v>12</v>
      </c>
    </row>
    <row r="13" spans="1:5" ht="36" customHeight="1">
      <c r="A13" s="7">
        <v>11</v>
      </c>
      <c r="B13" s="6" t="s">
        <v>191</v>
      </c>
      <c r="C13" s="7" t="s">
        <v>138</v>
      </c>
      <c r="D13" s="7"/>
      <c r="E13" s="36">
        <v>19</v>
      </c>
    </row>
    <row r="14" spans="1:5" ht="36" customHeight="1">
      <c r="A14" s="7">
        <v>12</v>
      </c>
      <c r="B14" s="6" t="s">
        <v>193</v>
      </c>
      <c r="C14" s="7" t="s">
        <v>139</v>
      </c>
      <c r="D14" s="7"/>
      <c r="E14" s="36">
        <v>8</v>
      </c>
    </row>
    <row r="15" spans="1:5" ht="36" customHeight="1">
      <c r="A15" s="7">
        <v>13</v>
      </c>
      <c r="B15" s="6" t="s">
        <v>140</v>
      </c>
      <c r="C15" s="7" t="s">
        <v>141</v>
      </c>
      <c r="D15" s="7"/>
      <c r="E15" s="36">
        <v>16</v>
      </c>
    </row>
    <row r="16" spans="1:5" ht="36" customHeight="1">
      <c r="A16" s="7">
        <v>14</v>
      </c>
      <c r="B16" s="6" t="s">
        <v>142</v>
      </c>
      <c r="C16" s="7" t="s">
        <v>143</v>
      </c>
      <c r="D16" s="7"/>
      <c r="E16" s="36">
        <v>9</v>
      </c>
    </row>
    <row r="17" spans="1:5" ht="36" customHeight="1">
      <c r="A17" s="7">
        <v>15</v>
      </c>
      <c r="B17" s="6" t="s">
        <v>144</v>
      </c>
      <c r="C17" s="7" t="s">
        <v>145</v>
      </c>
      <c r="D17" s="7"/>
      <c r="E17" s="36">
        <v>25</v>
      </c>
    </row>
    <row r="18" spans="1:5" ht="36" customHeight="1">
      <c r="A18" s="7">
        <v>16</v>
      </c>
      <c r="B18" s="6" t="s">
        <v>146</v>
      </c>
      <c r="C18" s="7" t="s">
        <v>147</v>
      </c>
      <c r="D18" s="7"/>
      <c r="E18" s="36">
        <v>0</v>
      </c>
    </row>
    <row r="19" spans="1:5" ht="36" customHeight="1">
      <c r="A19" s="7">
        <v>17</v>
      </c>
      <c r="B19" s="6" t="s">
        <v>148</v>
      </c>
      <c r="C19" s="7" t="s">
        <v>149</v>
      </c>
      <c r="D19" s="7"/>
      <c r="E19" s="36">
        <v>0</v>
      </c>
    </row>
    <row r="20" spans="1:5" ht="36" customHeight="1">
      <c r="A20" s="7">
        <v>18</v>
      </c>
      <c r="B20" s="6" t="s">
        <v>150</v>
      </c>
      <c r="C20" s="7" t="s">
        <v>151</v>
      </c>
      <c r="D20" s="7"/>
      <c r="E20" s="36">
        <v>0</v>
      </c>
    </row>
    <row r="21" spans="1:5" ht="36" customHeight="1">
      <c r="A21" s="7">
        <v>19</v>
      </c>
      <c r="B21" s="6" t="s">
        <v>152</v>
      </c>
      <c r="C21" s="7" t="s">
        <v>153</v>
      </c>
      <c r="D21" s="7"/>
      <c r="E21" s="36">
        <v>0</v>
      </c>
    </row>
    <row r="22" spans="1:5" ht="36" customHeight="1">
      <c r="A22" s="7">
        <v>20</v>
      </c>
      <c r="B22" s="6" t="s">
        <v>154</v>
      </c>
      <c r="C22" s="7" t="s">
        <v>155</v>
      </c>
      <c r="D22" s="7"/>
      <c r="E22" s="36">
        <v>5</v>
      </c>
    </row>
    <row r="23" spans="1:5" ht="36" customHeight="1">
      <c r="A23" s="7">
        <v>21</v>
      </c>
      <c r="B23" s="6" t="s">
        <v>156</v>
      </c>
      <c r="C23" s="7" t="s">
        <v>157</v>
      </c>
      <c r="D23" s="7"/>
      <c r="E23" s="36">
        <v>0</v>
      </c>
    </row>
    <row r="24" spans="1:5" ht="36" customHeight="1">
      <c r="A24" s="7">
        <v>22</v>
      </c>
      <c r="B24" s="6" t="s">
        <v>166</v>
      </c>
      <c r="C24" s="7" t="s">
        <v>167</v>
      </c>
      <c r="D24" s="7"/>
      <c r="E24" s="36">
        <v>0</v>
      </c>
    </row>
    <row r="25" spans="1:5" ht="36" customHeight="1">
      <c r="A25" s="7">
        <v>23</v>
      </c>
      <c r="B25" s="6" t="s">
        <v>197</v>
      </c>
      <c r="C25" s="7" t="s">
        <v>158</v>
      </c>
      <c r="D25" s="7"/>
      <c r="E25" s="36">
        <v>15</v>
      </c>
    </row>
    <row r="26" spans="1:5" ht="36" customHeight="1">
      <c r="A26" s="7">
        <v>24</v>
      </c>
      <c r="B26" s="6" t="s">
        <v>137</v>
      </c>
      <c r="C26" s="7" t="s">
        <v>159</v>
      </c>
      <c r="D26" s="7"/>
      <c r="E26" s="36">
        <v>0</v>
      </c>
    </row>
    <row r="27" spans="1:5" ht="36" customHeight="1">
      <c r="A27" s="7">
        <v>25</v>
      </c>
      <c r="B27" s="6" t="s">
        <v>160</v>
      </c>
      <c r="C27" s="7" t="s">
        <v>163</v>
      </c>
      <c r="D27" s="7"/>
      <c r="E27" s="36">
        <v>0</v>
      </c>
    </row>
    <row r="28" spans="1:5" ht="36" customHeight="1">
      <c r="A28" s="7">
        <v>26</v>
      </c>
      <c r="B28" s="6" t="s">
        <v>161</v>
      </c>
      <c r="C28" s="7" t="s">
        <v>164</v>
      </c>
      <c r="D28" s="7"/>
      <c r="E28" s="36">
        <v>0</v>
      </c>
    </row>
    <row r="29" spans="1:5" ht="36" customHeight="1">
      <c r="A29" s="7">
        <v>27</v>
      </c>
      <c r="B29" s="6" t="s">
        <v>162</v>
      </c>
      <c r="C29" s="7" t="s">
        <v>165</v>
      </c>
      <c r="D29" s="7"/>
      <c r="E29" s="36">
        <v>0</v>
      </c>
    </row>
    <row r="30" spans="1:5" ht="36" customHeight="1">
      <c r="A30" s="7">
        <v>28</v>
      </c>
      <c r="B30" s="27" t="s">
        <v>245</v>
      </c>
      <c r="C30" s="27"/>
      <c r="D30" s="27"/>
      <c r="E30" s="36">
        <v>0</v>
      </c>
    </row>
    <row r="31" spans="1:5" ht="36" customHeight="1">
      <c r="A31" s="7">
        <v>29</v>
      </c>
      <c r="B31" s="6" t="s">
        <v>230</v>
      </c>
      <c r="C31" s="7" t="s">
        <v>231</v>
      </c>
      <c r="D31" s="7"/>
      <c r="E31" s="36">
        <v>0</v>
      </c>
    </row>
    <row r="32" spans="1:5" ht="36" customHeight="1">
      <c r="A32" s="7">
        <v>30</v>
      </c>
      <c r="B32" s="6" t="s">
        <v>232</v>
      </c>
      <c r="C32" s="7" t="s">
        <v>233</v>
      </c>
      <c r="D32" s="7"/>
      <c r="E32" s="36">
        <v>0</v>
      </c>
    </row>
    <row r="33" spans="1:5" ht="36" customHeight="1">
      <c r="A33" s="7">
        <v>31</v>
      </c>
      <c r="B33" s="6" t="s">
        <v>234</v>
      </c>
      <c r="C33" s="7" t="s">
        <v>235</v>
      </c>
      <c r="D33" s="7"/>
      <c r="E33" s="36">
        <v>0</v>
      </c>
    </row>
    <row r="34" spans="1:5" ht="36" customHeight="1">
      <c r="A34" s="7">
        <v>32</v>
      </c>
      <c r="B34" s="27" t="s">
        <v>168</v>
      </c>
      <c r="C34" s="27"/>
      <c r="D34" s="27"/>
      <c r="E34" s="36">
        <v>0</v>
      </c>
    </row>
    <row r="35" spans="1:5" ht="36" customHeight="1">
      <c r="A35" s="7">
        <v>33</v>
      </c>
      <c r="B35" s="6" t="s">
        <v>169</v>
      </c>
      <c r="C35" s="7">
        <v>55601</v>
      </c>
      <c r="D35" s="7"/>
      <c r="E35" s="36">
        <v>0</v>
      </c>
    </row>
    <row r="36" spans="1:5" ht="36" customHeight="1">
      <c r="A36" s="7">
        <v>34</v>
      </c>
      <c r="B36" s="6" t="s">
        <v>170</v>
      </c>
      <c r="C36" s="7">
        <v>55602</v>
      </c>
      <c r="D36" s="7"/>
      <c r="E36" s="36">
        <v>2</v>
      </c>
    </row>
    <row r="37" spans="1:5" ht="36" customHeight="1">
      <c r="A37" s="7">
        <v>35</v>
      </c>
      <c r="B37" s="6" t="s">
        <v>171</v>
      </c>
      <c r="C37" s="7">
        <v>55603</v>
      </c>
      <c r="D37" s="7"/>
      <c r="E37" s="36">
        <v>1</v>
      </c>
    </row>
    <row r="38" spans="1:5" ht="36" customHeight="1">
      <c r="A38" s="7">
        <v>36</v>
      </c>
      <c r="B38" s="6" t="s">
        <v>172</v>
      </c>
      <c r="C38" s="7"/>
      <c r="D38" s="7"/>
      <c r="E38" s="36">
        <v>0</v>
      </c>
    </row>
    <row r="39" spans="1:5" ht="36" customHeight="1">
      <c r="A39" s="7">
        <v>37</v>
      </c>
      <c r="B39" s="27" t="s">
        <v>173</v>
      </c>
      <c r="C39" s="27"/>
      <c r="D39" s="27"/>
      <c r="E39" s="36">
        <v>0</v>
      </c>
    </row>
    <row r="40" spans="1:5" ht="36" customHeight="1">
      <c r="A40" s="7">
        <v>38</v>
      </c>
      <c r="B40" s="6" t="s">
        <v>169</v>
      </c>
      <c r="C40" s="7" t="s">
        <v>174</v>
      </c>
      <c r="D40" s="7"/>
      <c r="E40" s="36">
        <v>0</v>
      </c>
    </row>
    <row r="41" spans="1:5" ht="36" customHeight="1">
      <c r="A41" s="7">
        <v>39</v>
      </c>
      <c r="B41" s="6" t="s">
        <v>169</v>
      </c>
      <c r="C41" s="7" t="s">
        <v>186</v>
      </c>
      <c r="D41" s="7"/>
      <c r="E41" s="36">
        <v>0</v>
      </c>
    </row>
    <row r="42" spans="1:5" ht="36" customHeight="1">
      <c r="A42" s="7">
        <v>40</v>
      </c>
      <c r="B42" s="6" t="s">
        <v>169</v>
      </c>
      <c r="C42" s="7" t="s">
        <v>175</v>
      </c>
      <c r="D42" s="7"/>
      <c r="E42" s="36">
        <v>0</v>
      </c>
    </row>
    <row r="43" spans="1:5" ht="36" customHeight="1">
      <c r="A43" s="7">
        <v>41</v>
      </c>
      <c r="B43" s="6" t="s">
        <v>169</v>
      </c>
      <c r="C43" s="7" t="s">
        <v>176</v>
      </c>
      <c r="D43" s="7"/>
      <c r="E43" s="36">
        <v>0</v>
      </c>
    </row>
    <row r="44" spans="1:5" ht="36" customHeight="1">
      <c r="A44" s="7">
        <v>42</v>
      </c>
      <c r="B44" s="6" t="s">
        <v>170</v>
      </c>
      <c r="C44" s="7" t="s">
        <v>177</v>
      </c>
      <c r="D44" s="7"/>
      <c r="E44" s="36">
        <v>0</v>
      </c>
    </row>
    <row r="45" spans="1:5" ht="36" customHeight="1">
      <c r="A45" s="7">
        <v>43</v>
      </c>
      <c r="B45" s="6" t="s">
        <v>171</v>
      </c>
      <c r="C45" s="7" t="s">
        <v>178</v>
      </c>
      <c r="D45" s="7"/>
      <c r="E45" s="36">
        <v>0</v>
      </c>
    </row>
    <row r="46" spans="1:5" ht="36" customHeight="1">
      <c r="A46" s="7">
        <v>44</v>
      </c>
      <c r="B46" s="6" t="s">
        <v>180</v>
      </c>
      <c r="C46" s="7" t="s">
        <v>179</v>
      </c>
      <c r="D46" s="7"/>
      <c r="E46" s="36">
        <v>0</v>
      </c>
    </row>
    <row r="47" spans="1:5" ht="36" customHeight="1">
      <c r="A47" s="7">
        <v>45</v>
      </c>
      <c r="B47" s="6" t="s">
        <v>181</v>
      </c>
      <c r="C47" s="7" t="s">
        <v>182</v>
      </c>
      <c r="D47" s="7"/>
      <c r="E47" s="36">
        <v>0</v>
      </c>
    </row>
    <row r="48" spans="1:5" ht="36" customHeight="1">
      <c r="A48" s="7">
        <v>46</v>
      </c>
      <c r="B48" s="6" t="s">
        <v>181</v>
      </c>
      <c r="C48" s="7" t="s">
        <v>183</v>
      </c>
      <c r="D48" s="7"/>
      <c r="E48" s="36">
        <v>0</v>
      </c>
    </row>
    <row r="49" spans="1:5" ht="36" customHeight="1">
      <c r="A49" s="7">
        <v>47</v>
      </c>
      <c r="B49" s="6" t="s">
        <v>184</v>
      </c>
      <c r="C49" s="7" t="s">
        <v>185</v>
      </c>
      <c r="D49" s="7"/>
      <c r="E49" s="36">
        <v>0</v>
      </c>
    </row>
    <row r="50" spans="1:5" ht="36" customHeight="1">
      <c r="A50" s="7">
        <v>48</v>
      </c>
      <c r="B50" s="6" t="s">
        <v>187</v>
      </c>
      <c r="C50" s="7" t="s">
        <v>188</v>
      </c>
      <c r="D50" s="7"/>
      <c r="E50" s="36">
        <v>0</v>
      </c>
    </row>
    <row r="51" spans="1:5" ht="36" customHeight="1">
      <c r="A51" s="7">
        <v>49</v>
      </c>
      <c r="B51" s="6" t="s">
        <v>195</v>
      </c>
      <c r="C51" s="7" t="s">
        <v>196</v>
      </c>
      <c r="D51" s="7"/>
      <c r="E51" s="36">
        <v>0</v>
      </c>
    </row>
    <row r="52" spans="1:5" ht="36" customHeight="1">
      <c r="A52" s="7">
        <v>50</v>
      </c>
      <c r="B52" s="6" t="s">
        <v>189</v>
      </c>
      <c r="C52" s="7" t="s">
        <v>190</v>
      </c>
      <c r="D52" s="7"/>
      <c r="E52" s="36">
        <v>0</v>
      </c>
    </row>
    <row r="53" spans="1:5" ht="36" customHeight="1">
      <c r="A53" s="7">
        <v>51</v>
      </c>
      <c r="B53" s="27" t="s">
        <v>116</v>
      </c>
      <c r="C53" s="27"/>
      <c r="D53" s="27"/>
      <c r="E53" s="36">
        <v>0</v>
      </c>
    </row>
    <row r="54" spans="1:5" ht="36" customHeight="1">
      <c r="A54" s="7">
        <v>52</v>
      </c>
      <c r="B54" s="6" t="s">
        <v>3</v>
      </c>
      <c r="C54" s="7" t="s">
        <v>31</v>
      </c>
      <c r="D54" s="7"/>
      <c r="E54" s="36">
        <v>10</v>
      </c>
    </row>
    <row r="55" spans="1:5" ht="36" customHeight="1">
      <c r="A55" s="7">
        <v>53</v>
      </c>
      <c r="B55" s="6" t="s">
        <v>4</v>
      </c>
      <c r="C55" s="7" t="s">
        <v>32</v>
      </c>
      <c r="D55" s="7"/>
      <c r="E55" s="36">
        <v>8</v>
      </c>
    </row>
    <row r="56" spans="1:5" ht="36" customHeight="1">
      <c r="A56" s="7">
        <v>54</v>
      </c>
      <c r="B56" s="6" t="s">
        <v>22</v>
      </c>
      <c r="C56" s="7" t="s">
        <v>33</v>
      </c>
      <c r="D56" s="7"/>
      <c r="E56" s="36">
        <v>10</v>
      </c>
    </row>
    <row r="57" spans="1:5" ht="36" customHeight="1">
      <c r="A57" s="7">
        <v>55</v>
      </c>
      <c r="B57" s="6" t="s">
        <v>23</v>
      </c>
      <c r="C57" s="7" t="s">
        <v>34</v>
      </c>
      <c r="D57" s="7"/>
      <c r="E57" s="36">
        <v>0</v>
      </c>
    </row>
    <row r="58" spans="1:5" ht="36" customHeight="1">
      <c r="A58" s="7">
        <v>56</v>
      </c>
      <c r="B58" s="6" t="s">
        <v>24</v>
      </c>
      <c r="C58" s="7" t="s">
        <v>35</v>
      </c>
      <c r="D58" s="7"/>
      <c r="E58" s="36">
        <v>4</v>
      </c>
    </row>
    <row r="59" spans="1:5" ht="36" customHeight="1">
      <c r="A59" s="7">
        <v>57</v>
      </c>
      <c r="B59" s="6" t="s">
        <v>25</v>
      </c>
      <c r="C59" s="7" t="s">
        <v>36</v>
      </c>
      <c r="D59" s="7"/>
      <c r="E59" s="36">
        <v>0</v>
      </c>
    </row>
    <row r="60" spans="1:5" ht="36" customHeight="1">
      <c r="A60" s="7">
        <v>58</v>
      </c>
      <c r="B60" s="6" t="s">
        <v>6</v>
      </c>
      <c r="C60" s="7" t="s">
        <v>37</v>
      </c>
      <c r="D60" s="7"/>
      <c r="E60" s="36">
        <v>0</v>
      </c>
    </row>
    <row r="61" spans="1:5" ht="36" customHeight="1">
      <c r="A61" s="7">
        <v>59</v>
      </c>
      <c r="B61" s="6" t="s">
        <v>26</v>
      </c>
      <c r="C61" s="7" t="s">
        <v>38</v>
      </c>
      <c r="D61" s="7"/>
      <c r="E61" s="36">
        <v>0</v>
      </c>
    </row>
    <row r="62" spans="1:5" ht="36" customHeight="1">
      <c r="A62" s="7">
        <v>60</v>
      </c>
      <c r="B62" s="6" t="s">
        <v>27</v>
      </c>
      <c r="C62" s="7" t="s">
        <v>39</v>
      </c>
      <c r="D62" s="7"/>
      <c r="E62" s="36">
        <v>0</v>
      </c>
    </row>
    <row r="63" spans="1:5" ht="36" customHeight="1">
      <c r="A63" s="7">
        <v>61</v>
      </c>
      <c r="B63" s="6" t="s">
        <v>28</v>
      </c>
      <c r="C63" s="7" t="s">
        <v>40</v>
      </c>
      <c r="D63" s="7"/>
      <c r="E63" s="36">
        <v>0</v>
      </c>
    </row>
    <row r="64" spans="1:5" ht="36" customHeight="1">
      <c r="A64" s="7">
        <v>62</v>
      </c>
      <c r="B64" s="6" t="s">
        <v>105</v>
      </c>
      <c r="C64" s="7" t="s">
        <v>41</v>
      </c>
      <c r="D64" s="7"/>
      <c r="E64" s="36">
        <v>0</v>
      </c>
    </row>
    <row r="65" spans="1:5" ht="27" customHeight="1">
      <c r="A65" s="7">
        <v>63</v>
      </c>
      <c r="B65" s="28" t="s">
        <v>117</v>
      </c>
      <c r="C65" s="28"/>
      <c r="D65" s="28"/>
      <c r="E65" s="36">
        <v>0</v>
      </c>
    </row>
    <row r="66" spans="1:5" ht="36" customHeight="1">
      <c r="A66" s="7">
        <v>64</v>
      </c>
      <c r="B66" s="6" t="s">
        <v>3</v>
      </c>
      <c r="C66" s="7" t="s">
        <v>10</v>
      </c>
      <c r="D66" s="8"/>
      <c r="E66" s="36">
        <v>1</v>
      </c>
    </row>
    <row r="67" spans="1:5" ht="36" customHeight="1">
      <c r="A67" s="7">
        <v>65</v>
      </c>
      <c r="B67" s="6" t="s">
        <v>4</v>
      </c>
      <c r="C67" s="7" t="s">
        <v>11</v>
      </c>
      <c r="D67" s="8"/>
      <c r="E67" s="36">
        <v>1</v>
      </c>
    </row>
    <row r="68" spans="1:5" ht="36" customHeight="1">
      <c r="A68" s="7">
        <v>66</v>
      </c>
      <c r="B68" s="6" t="s">
        <v>22</v>
      </c>
      <c r="C68" s="7" t="s">
        <v>19</v>
      </c>
      <c r="D68" s="8"/>
      <c r="E68" s="36">
        <v>4</v>
      </c>
    </row>
    <row r="69" spans="1:5" ht="36" customHeight="1">
      <c r="A69" s="7">
        <v>67</v>
      </c>
      <c r="B69" s="6" t="s">
        <v>23</v>
      </c>
      <c r="C69" s="7" t="s">
        <v>20</v>
      </c>
      <c r="D69" s="7"/>
      <c r="E69" s="36">
        <v>2</v>
      </c>
    </row>
    <row r="70" spans="1:5" ht="36" customHeight="1">
      <c r="A70" s="7">
        <v>68</v>
      </c>
      <c r="B70" s="6" t="s">
        <v>24</v>
      </c>
      <c r="C70" s="7" t="s">
        <v>21</v>
      </c>
      <c r="D70" s="7"/>
      <c r="E70" s="36">
        <v>21</v>
      </c>
    </row>
    <row r="71" spans="1:5" ht="36" customHeight="1">
      <c r="A71" s="7">
        <v>69</v>
      </c>
      <c r="B71" s="6" t="s">
        <v>246</v>
      </c>
      <c r="C71" s="7" t="s">
        <v>20</v>
      </c>
      <c r="D71" s="7"/>
      <c r="E71" s="36">
        <v>0</v>
      </c>
    </row>
    <row r="72" spans="1:5" ht="36" customHeight="1">
      <c r="A72" s="7">
        <v>70</v>
      </c>
      <c r="B72" s="6" t="s">
        <v>25</v>
      </c>
      <c r="C72" s="7" t="s">
        <v>12</v>
      </c>
      <c r="D72" s="7"/>
      <c r="E72" s="36">
        <v>4</v>
      </c>
    </row>
    <row r="73" spans="1:5" ht="36" customHeight="1">
      <c r="A73" s="7">
        <v>71</v>
      </c>
      <c r="B73" s="6" t="s">
        <v>6</v>
      </c>
      <c r="C73" s="7" t="s">
        <v>13</v>
      </c>
      <c r="D73" s="7"/>
      <c r="E73" s="36">
        <v>3</v>
      </c>
    </row>
    <row r="74" spans="1:5" ht="36" customHeight="1">
      <c r="A74" s="7">
        <v>72</v>
      </c>
      <c r="B74" s="6" t="s">
        <v>26</v>
      </c>
      <c r="C74" s="7" t="s">
        <v>14</v>
      </c>
      <c r="D74" s="7"/>
      <c r="E74" s="36">
        <v>3</v>
      </c>
    </row>
    <row r="75" spans="1:5" ht="36" customHeight="1">
      <c r="A75" s="7">
        <v>73</v>
      </c>
      <c r="B75" s="6" t="s">
        <v>27</v>
      </c>
      <c r="C75" s="7" t="s">
        <v>15</v>
      </c>
      <c r="D75" s="7"/>
      <c r="E75" s="36">
        <v>1</v>
      </c>
    </row>
    <row r="76" spans="1:5" ht="36" customHeight="1">
      <c r="A76" s="7">
        <v>74</v>
      </c>
      <c r="B76" s="6" t="s">
        <v>28</v>
      </c>
      <c r="C76" s="7" t="s">
        <v>16</v>
      </c>
      <c r="D76" s="7"/>
      <c r="E76" s="36">
        <v>0</v>
      </c>
    </row>
    <row r="77" spans="1:5" ht="36" customHeight="1">
      <c r="A77" s="7">
        <v>75</v>
      </c>
      <c r="B77" s="6" t="s">
        <v>9</v>
      </c>
      <c r="C77" s="7" t="s">
        <v>17</v>
      </c>
      <c r="D77" s="7"/>
      <c r="E77" s="36">
        <v>0</v>
      </c>
    </row>
    <row r="78" spans="1:5" ht="36" customHeight="1">
      <c r="A78" s="7">
        <v>76</v>
      </c>
      <c r="B78" s="6" t="s">
        <v>247</v>
      </c>
      <c r="C78" s="7" t="s">
        <v>18</v>
      </c>
      <c r="D78" s="7"/>
      <c r="E78" s="36">
        <v>0</v>
      </c>
    </row>
    <row r="79" spans="1:5" ht="36" customHeight="1">
      <c r="A79" s="7">
        <v>77</v>
      </c>
      <c r="B79" s="6" t="s">
        <v>248</v>
      </c>
      <c r="C79" s="7" t="s">
        <v>29</v>
      </c>
      <c r="D79" s="7"/>
      <c r="E79" s="36">
        <v>32</v>
      </c>
    </row>
    <row r="80" spans="1:5" ht="36" customHeight="1">
      <c r="A80" s="7">
        <v>78</v>
      </c>
      <c r="B80" s="6" t="s">
        <v>249</v>
      </c>
      <c r="C80" s="7" t="s">
        <v>30</v>
      </c>
      <c r="D80" s="7"/>
      <c r="E80" s="36">
        <v>26</v>
      </c>
    </row>
    <row r="81" spans="1:5" ht="36.75" customHeight="1">
      <c r="A81" s="7">
        <v>79</v>
      </c>
      <c r="B81" s="27" t="s">
        <v>118</v>
      </c>
      <c r="C81" s="27"/>
      <c r="D81" s="27"/>
      <c r="E81" s="36">
        <v>0</v>
      </c>
    </row>
    <row r="82" spans="1:5" ht="36.75" customHeight="1">
      <c r="A82" s="7">
        <v>80</v>
      </c>
      <c r="B82" s="6" t="s">
        <v>7</v>
      </c>
      <c r="C82" s="7" t="s">
        <v>47</v>
      </c>
      <c r="D82" s="7"/>
      <c r="E82" s="36">
        <v>15</v>
      </c>
    </row>
    <row r="83" spans="1:5" ht="36.75" customHeight="1">
      <c r="A83" s="7">
        <v>81</v>
      </c>
      <c r="B83" s="6" t="s">
        <v>236</v>
      </c>
      <c r="C83" s="7" t="s">
        <v>237</v>
      </c>
      <c r="D83" s="7"/>
      <c r="E83" s="36">
        <v>0</v>
      </c>
    </row>
    <row r="84" spans="1:5" ht="36.75" customHeight="1">
      <c r="A84" s="7">
        <v>82</v>
      </c>
      <c r="B84" s="6" t="s">
        <v>8</v>
      </c>
      <c r="C84" s="7" t="s">
        <v>48</v>
      </c>
      <c r="D84" s="7"/>
      <c r="E84" s="36">
        <v>23</v>
      </c>
    </row>
    <row r="85" spans="1:5" ht="36.75" customHeight="1">
      <c r="A85" s="7">
        <v>83</v>
      </c>
      <c r="B85" s="6" t="s">
        <v>42</v>
      </c>
      <c r="C85" s="7" t="s">
        <v>49</v>
      </c>
      <c r="D85" s="7"/>
      <c r="E85" s="36">
        <v>4</v>
      </c>
    </row>
    <row r="86" spans="1:5" ht="36.75" customHeight="1">
      <c r="A86" s="7">
        <v>84</v>
      </c>
      <c r="B86" s="6" t="s">
        <v>250</v>
      </c>
      <c r="C86" s="7" t="s">
        <v>50</v>
      </c>
      <c r="D86" s="7"/>
      <c r="E86" s="36">
        <v>0</v>
      </c>
    </row>
    <row r="87" spans="1:5" ht="36.75" customHeight="1">
      <c r="A87" s="7">
        <v>85</v>
      </c>
      <c r="B87" s="6" t="s">
        <v>27</v>
      </c>
      <c r="C87" s="7" t="s">
        <v>51</v>
      </c>
      <c r="D87" s="7"/>
      <c r="E87" s="36">
        <v>6</v>
      </c>
    </row>
    <row r="88" spans="1:5" ht="36.75" customHeight="1">
      <c r="A88" s="7">
        <v>86</v>
      </c>
      <c r="B88" s="6" t="s">
        <v>44</v>
      </c>
      <c r="C88" s="7" t="s">
        <v>52</v>
      </c>
      <c r="D88" s="7"/>
      <c r="E88" s="36">
        <v>9</v>
      </c>
    </row>
    <row r="89" spans="1:5" ht="36.75" customHeight="1">
      <c r="A89" s="7">
        <v>87</v>
      </c>
      <c r="B89" s="6" t="s">
        <v>45</v>
      </c>
      <c r="C89" s="7" t="s">
        <v>55</v>
      </c>
      <c r="D89" s="7"/>
      <c r="E89" s="36">
        <v>0</v>
      </c>
    </row>
    <row r="90" spans="1:5" ht="36.75" customHeight="1">
      <c r="A90" s="7">
        <v>88</v>
      </c>
      <c r="B90" s="6" t="s">
        <v>251</v>
      </c>
      <c r="C90" s="7" t="s">
        <v>56</v>
      </c>
      <c r="D90" s="7"/>
      <c r="E90" s="36">
        <v>0</v>
      </c>
    </row>
    <row r="91" spans="1:5" ht="36.75" customHeight="1">
      <c r="A91" s="7">
        <v>89</v>
      </c>
      <c r="B91" s="6" t="s">
        <v>109</v>
      </c>
      <c r="C91" s="7" t="s">
        <v>53</v>
      </c>
      <c r="D91" s="7"/>
      <c r="E91" s="36">
        <v>20</v>
      </c>
    </row>
    <row r="92" spans="1:5" ht="36.75" customHeight="1">
      <c r="A92" s="7">
        <v>90</v>
      </c>
      <c r="B92" s="6" t="s">
        <v>108</v>
      </c>
      <c r="C92" s="7" t="s">
        <v>54</v>
      </c>
      <c r="D92" s="7"/>
      <c r="E92" s="36">
        <v>0</v>
      </c>
    </row>
    <row r="93" spans="1:5" ht="36.75" customHeight="1">
      <c r="A93" s="7">
        <v>91</v>
      </c>
      <c r="B93" s="27" t="s">
        <v>252</v>
      </c>
      <c r="C93" s="27"/>
      <c r="D93" s="27"/>
      <c r="E93" s="36">
        <v>0</v>
      </c>
    </row>
    <row r="94" spans="1:5" ht="36.75" customHeight="1">
      <c r="A94" s="7">
        <v>92</v>
      </c>
      <c r="B94" s="23" t="s">
        <v>253</v>
      </c>
      <c r="C94" s="7" t="s">
        <v>238</v>
      </c>
      <c r="D94" s="7"/>
      <c r="E94" s="36">
        <v>0</v>
      </c>
    </row>
    <row r="95" spans="1:5" ht="36.75" customHeight="1">
      <c r="A95" s="7">
        <v>93</v>
      </c>
      <c r="B95" s="23" t="s">
        <v>254</v>
      </c>
      <c r="C95" s="7" t="s">
        <v>239</v>
      </c>
      <c r="D95" s="7"/>
      <c r="E95" s="36">
        <v>0</v>
      </c>
    </row>
    <row r="96" spans="1:5" ht="36.75" customHeight="1">
      <c r="A96" s="7">
        <v>94</v>
      </c>
      <c r="B96" s="23" t="s">
        <v>255</v>
      </c>
      <c r="C96" s="7" t="s">
        <v>240</v>
      </c>
      <c r="D96" s="7"/>
      <c r="E96" s="36">
        <v>0</v>
      </c>
    </row>
    <row r="97" spans="1:5" ht="36.75" customHeight="1">
      <c r="A97" s="7"/>
      <c r="B97" s="23" t="s">
        <v>258</v>
      </c>
      <c r="C97" s="7"/>
      <c r="D97" s="7"/>
      <c r="E97" s="36">
        <v>0</v>
      </c>
    </row>
    <row r="98" spans="1:5" ht="36.75" customHeight="1">
      <c r="A98" s="7"/>
      <c r="B98" s="23" t="s">
        <v>259</v>
      </c>
      <c r="C98" s="7"/>
      <c r="D98" s="7"/>
      <c r="E98" s="36">
        <v>0</v>
      </c>
    </row>
    <row r="99" spans="1:5" ht="36.75" customHeight="1">
      <c r="A99" s="7"/>
      <c r="B99" s="23" t="s">
        <v>260</v>
      </c>
      <c r="C99" s="7"/>
      <c r="D99" s="7"/>
      <c r="E99" s="36">
        <v>0</v>
      </c>
    </row>
    <row r="100" spans="1:5" ht="36.75" customHeight="1">
      <c r="A100" s="7"/>
      <c r="B100" s="23" t="s">
        <v>261</v>
      </c>
      <c r="C100" s="7"/>
      <c r="D100" s="7"/>
      <c r="E100" s="36">
        <v>0</v>
      </c>
    </row>
    <row r="101" spans="1:5" ht="36.75" customHeight="1">
      <c r="A101" s="7">
        <v>95</v>
      </c>
      <c r="B101" s="27" t="s">
        <v>119</v>
      </c>
      <c r="C101" s="27"/>
      <c r="D101" s="27"/>
      <c r="E101" s="36">
        <v>0</v>
      </c>
    </row>
    <row r="102" spans="1:5" ht="36.75" customHeight="1">
      <c r="A102" s="7">
        <v>96</v>
      </c>
      <c r="B102" s="6" t="s">
        <v>7</v>
      </c>
      <c r="C102" s="7" t="s">
        <v>60</v>
      </c>
      <c r="D102" s="7"/>
      <c r="E102" s="36">
        <v>9</v>
      </c>
    </row>
    <row r="103" spans="1:5" ht="36.75" customHeight="1">
      <c r="A103" s="7">
        <v>97</v>
      </c>
      <c r="B103" s="6" t="s">
        <v>57</v>
      </c>
      <c r="C103" s="7" t="s">
        <v>61</v>
      </c>
      <c r="D103" s="7"/>
      <c r="E103" s="36">
        <v>3</v>
      </c>
    </row>
    <row r="104" spans="1:5" ht="36.75" customHeight="1">
      <c r="A104" s="7">
        <v>98</v>
      </c>
      <c r="B104" s="6" t="s">
        <v>44</v>
      </c>
      <c r="C104" s="7" t="s">
        <v>62</v>
      </c>
      <c r="D104" s="7"/>
      <c r="E104" s="36">
        <v>3</v>
      </c>
    </row>
    <row r="105" spans="1:5" ht="36.75" customHeight="1">
      <c r="A105" s="7">
        <v>99</v>
      </c>
      <c r="B105" s="6" t="s">
        <v>58</v>
      </c>
      <c r="C105" s="7" t="s">
        <v>63</v>
      </c>
      <c r="D105" s="7"/>
      <c r="E105" s="36">
        <v>4</v>
      </c>
    </row>
    <row r="106" spans="1:5" ht="36.75" customHeight="1">
      <c r="A106" s="7">
        <v>100</v>
      </c>
      <c r="B106" s="6" t="s">
        <v>58</v>
      </c>
      <c r="C106" s="7" t="s">
        <v>64</v>
      </c>
      <c r="D106" s="7"/>
      <c r="E106" s="36">
        <v>3</v>
      </c>
    </row>
    <row r="107" spans="1:5" ht="36.75" customHeight="1">
      <c r="A107" s="7">
        <v>101</v>
      </c>
      <c r="B107" s="6" t="s">
        <v>8</v>
      </c>
      <c r="C107" s="7" t="s">
        <v>65</v>
      </c>
      <c r="D107" s="7"/>
      <c r="E107" s="36">
        <v>33</v>
      </c>
    </row>
    <row r="108" spans="1:5" ht="36.75" customHeight="1">
      <c r="A108" s="7">
        <v>102</v>
      </c>
      <c r="B108" s="6" t="s">
        <v>42</v>
      </c>
      <c r="C108" s="7" t="s">
        <v>66</v>
      </c>
      <c r="D108" s="7"/>
      <c r="E108" s="36">
        <v>21</v>
      </c>
    </row>
    <row r="109" spans="1:5" ht="36.75" customHeight="1">
      <c r="A109" s="7">
        <v>103</v>
      </c>
      <c r="B109" s="6" t="s">
        <v>43</v>
      </c>
      <c r="C109" s="7" t="s">
        <v>67</v>
      </c>
      <c r="D109" s="7"/>
      <c r="E109" s="36">
        <v>0</v>
      </c>
    </row>
    <row r="110" spans="1:5" ht="36.75" customHeight="1">
      <c r="A110" s="7">
        <v>104</v>
      </c>
      <c r="B110" s="6" t="s">
        <v>45</v>
      </c>
      <c r="C110" s="7" t="s">
        <v>68</v>
      </c>
      <c r="D110" s="7"/>
      <c r="E110" s="36">
        <v>1</v>
      </c>
    </row>
    <row r="111" spans="1:5" ht="36.75" customHeight="1">
      <c r="A111" s="7">
        <v>105</v>
      </c>
      <c r="B111" s="6" t="s">
        <v>256</v>
      </c>
      <c r="C111" s="7" t="s">
        <v>69</v>
      </c>
      <c r="D111" s="7"/>
      <c r="E111" s="36">
        <v>0</v>
      </c>
    </row>
    <row r="112" spans="1:5" ht="36.75" customHeight="1">
      <c r="A112" s="7">
        <v>106</v>
      </c>
      <c r="B112" s="6" t="s">
        <v>110</v>
      </c>
      <c r="C112" s="7" t="s">
        <v>70</v>
      </c>
      <c r="D112" s="7"/>
      <c r="E112" s="36">
        <v>6</v>
      </c>
    </row>
    <row r="113" spans="1:5" ht="36.75" customHeight="1">
      <c r="A113" s="7">
        <v>107</v>
      </c>
      <c r="B113" s="6" t="s">
        <v>111</v>
      </c>
      <c r="C113" s="7" t="s">
        <v>71</v>
      </c>
      <c r="D113" s="7"/>
      <c r="E113" s="36">
        <v>22</v>
      </c>
    </row>
    <row r="114" spans="1:5" ht="36.75" customHeight="1">
      <c r="A114" s="7">
        <v>108</v>
      </c>
      <c r="B114" s="6" t="s">
        <v>72</v>
      </c>
      <c r="C114" s="7" t="s">
        <v>80</v>
      </c>
      <c r="D114" s="7"/>
      <c r="E114" s="36">
        <v>0</v>
      </c>
    </row>
    <row r="115" spans="1:5" ht="36.75" customHeight="1">
      <c r="A115" s="7">
        <v>109</v>
      </c>
      <c r="B115" s="6" t="s">
        <v>73</v>
      </c>
      <c r="C115" s="7" t="s">
        <v>81</v>
      </c>
      <c r="D115" s="7"/>
      <c r="E115" s="36">
        <v>0</v>
      </c>
    </row>
    <row r="116" spans="1:5" ht="36.75" customHeight="1">
      <c r="A116" s="7">
        <v>110</v>
      </c>
      <c r="B116" s="6" t="s">
        <v>74</v>
      </c>
      <c r="C116" s="7" t="s">
        <v>82</v>
      </c>
      <c r="D116" s="7"/>
      <c r="E116" s="36">
        <v>0</v>
      </c>
    </row>
    <row r="117" spans="1:5" ht="36.75" customHeight="1">
      <c r="A117" s="7">
        <v>111</v>
      </c>
      <c r="B117" s="6" t="s">
        <v>75</v>
      </c>
      <c r="C117" s="7" t="s">
        <v>83</v>
      </c>
      <c r="D117" s="7"/>
      <c r="E117" s="36">
        <v>0</v>
      </c>
    </row>
    <row r="118" spans="1:5" ht="36.75" customHeight="1">
      <c r="A118" s="7">
        <v>112</v>
      </c>
      <c r="B118" s="6" t="s">
        <v>75</v>
      </c>
      <c r="C118" s="7" t="s">
        <v>84</v>
      </c>
      <c r="D118" s="7"/>
      <c r="E118" s="36">
        <v>0</v>
      </c>
    </row>
    <row r="119" spans="1:5" ht="36.75" customHeight="1">
      <c r="A119" s="7">
        <v>113</v>
      </c>
      <c r="B119" s="6" t="s">
        <v>75</v>
      </c>
      <c r="C119" s="7" t="s">
        <v>85</v>
      </c>
      <c r="D119" s="7"/>
      <c r="E119" s="36">
        <v>0</v>
      </c>
    </row>
    <row r="120" spans="1:5" ht="36.75" customHeight="1">
      <c r="A120" s="7">
        <v>114</v>
      </c>
      <c r="B120" s="6" t="s">
        <v>75</v>
      </c>
      <c r="C120" s="7" t="s">
        <v>86</v>
      </c>
      <c r="D120" s="7"/>
      <c r="E120" s="36">
        <v>0</v>
      </c>
    </row>
    <row r="121" spans="1:5" ht="36.75" customHeight="1">
      <c r="A121" s="7">
        <v>115</v>
      </c>
      <c r="B121" s="6" t="s">
        <v>76</v>
      </c>
      <c r="C121" s="7" t="s">
        <v>87</v>
      </c>
      <c r="D121" s="7"/>
      <c r="E121" s="36">
        <v>0</v>
      </c>
    </row>
    <row r="122" spans="1:5" ht="36.75" customHeight="1">
      <c r="A122" s="7">
        <v>116</v>
      </c>
      <c r="B122" s="6" t="s">
        <v>77</v>
      </c>
      <c r="C122" s="7" t="s">
        <v>88</v>
      </c>
      <c r="D122" s="7"/>
      <c r="E122" s="36">
        <v>0</v>
      </c>
    </row>
    <row r="123" spans="1:5" ht="36.75" customHeight="1">
      <c r="A123" s="7">
        <v>117</v>
      </c>
      <c r="B123" s="6" t="s">
        <v>78</v>
      </c>
      <c r="C123" s="7" t="s">
        <v>89</v>
      </c>
      <c r="D123" s="7"/>
      <c r="E123" s="36">
        <v>0</v>
      </c>
    </row>
    <row r="124" spans="1:5" ht="36.75" customHeight="1">
      <c r="A124" s="7">
        <v>118</v>
      </c>
      <c r="B124" s="6" t="s">
        <v>79</v>
      </c>
      <c r="C124" s="7" t="s">
        <v>90</v>
      </c>
      <c r="D124" s="7"/>
      <c r="E124" s="36">
        <v>0</v>
      </c>
    </row>
    <row r="125" spans="1:5" ht="36.75" customHeight="1">
      <c r="A125" s="7">
        <v>119</v>
      </c>
      <c r="B125" s="27" t="s">
        <v>120</v>
      </c>
      <c r="C125" s="27"/>
      <c r="D125" s="27"/>
      <c r="E125" s="36">
        <v>0</v>
      </c>
    </row>
    <row r="126" spans="1:5" ht="36.75" customHeight="1">
      <c r="A126" s="7">
        <v>120</v>
      </c>
      <c r="B126" s="6" t="s">
        <v>5</v>
      </c>
      <c r="C126" s="7" t="s">
        <v>96</v>
      </c>
      <c r="D126" s="7"/>
      <c r="E126" s="36">
        <v>0</v>
      </c>
    </row>
    <row r="127" spans="1:5" ht="36.75" customHeight="1">
      <c r="A127" s="7">
        <v>121</v>
      </c>
      <c r="B127" s="6" t="s">
        <v>91</v>
      </c>
      <c r="C127" s="7" t="s">
        <v>97</v>
      </c>
      <c r="D127" s="7"/>
      <c r="E127" s="36">
        <v>0</v>
      </c>
    </row>
    <row r="128" spans="1:5" ht="36.75" customHeight="1">
      <c r="A128" s="7">
        <v>122</v>
      </c>
      <c r="B128" s="6" t="s">
        <v>92</v>
      </c>
      <c r="C128" s="7" t="s">
        <v>98</v>
      </c>
      <c r="D128" s="7"/>
      <c r="E128" s="36">
        <v>0</v>
      </c>
    </row>
    <row r="129" spans="1:5" ht="36.75" customHeight="1">
      <c r="A129" s="7">
        <v>123</v>
      </c>
      <c r="B129" s="6" t="s">
        <v>93</v>
      </c>
      <c r="C129" s="7" t="s">
        <v>99</v>
      </c>
      <c r="D129" s="7"/>
      <c r="E129" s="36">
        <v>0</v>
      </c>
    </row>
    <row r="130" spans="1:5" ht="36.75" customHeight="1">
      <c r="A130" s="7">
        <v>124</v>
      </c>
      <c r="B130" s="6" t="s">
        <v>94</v>
      </c>
      <c r="C130" s="7" t="s">
        <v>100</v>
      </c>
      <c r="D130" s="7"/>
      <c r="E130" s="36">
        <v>0</v>
      </c>
    </row>
    <row r="131" spans="1:5" ht="36.75" customHeight="1">
      <c r="A131" s="7">
        <v>125</v>
      </c>
      <c r="B131" s="6" t="s">
        <v>27</v>
      </c>
      <c r="C131" s="7" t="s">
        <v>101</v>
      </c>
      <c r="D131" s="7"/>
      <c r="E131" s="36">
        <v>0</v>
      </c>
    </row>
    <row r="132" spans="1:5" ht="36.75" customHeight="1">
      <c r="A132" s="7">
        <v>126</v>
      </c>
      <c r="B132" s="6" t="s">
        <v>95</v>
      </c>
      <c r="C132" s="7" t="s">
        <v>102</v>
      </c>
      <c r="D132" s="7"/>
      <c r="E132" s="36">
        <v>0</v>
      </c>
    </row>
    <row r="133" spans="1:5" ht="36.75" customHeight="1">
      <c r="A133" s="7">
        <v>127</v>
      </c>
      <c r="B133" s="6" t="s">
        <v>109</v>
      </c>
      <c r="C133" s="7" t="s">
        <v>103</v>
      </c>
      <c r="D133" s="7"/>
      <c r="E133" s="36">
        <v>0</v>
      </c>
    </row>
    <row r="134" spans="1:5" ht="36.75" customHeight="1">
      <c r="A134" s="7">
        <v>128</v>
      </c>
      <c r="B134" s="6" t="s">
        <v>112</v>
      </c>
      <c r="C134" s="7" t="s">
        <v>104</v>
      </c>
      <c r="D134" s="7"/>
      <c r="E134" s="36">
        <v>0</v>
      </c>
    </row>
    <row r="135" spans="1:5" ht="36.75" customHeight="1">
      <c r="A135" s="7"/>
      <c r="B135" s="23" t="s">
        <v>262</v>
      </c>
      <c r="C135" s="7"/>
      <c r="D135" s="7"/>
      <c r="E135" s="36">
        <v>0</v>
      </c>
    </row>
    <row r="136" spans="1:5" ht="36.75" customHeight="1">
      <c r="A136" s="7">
        <v>129</v>
      </c>
      <c r="B136" s="27" t="s">
        <v>257</v>
      </c>
      <c r="C136" s="27"/>
      <c r="D136" s="27"/>
      <c r="E136" s="36">
        <v>0</v>
      </c>
    </row>
    <row r="137" spans="1:5" ht="36.75" customHeight="1">
      <c r="A137" s="7">
        <v>130</v>
      </c>
      <c r="B137" s="6" t="s">
        <v>169</v>
      </c>
      <c r="C137" s="7"/>
      <c r="D137" s="7"/>
      <c r="E137" s="36">
        <v>0</v>
      </c>
    </row>
    <row r="138" spans="1:5" ht="36.75" customHeight="1">
      <c r="A138" s="7">
        <v>131</v>
      </c>
      <c r="B138" s="6" t="s">
        <v>170</v>
      </c>
      <c r="C138" s="7"/>
      <c r="D138" s="7"/>
      <c r="E138" s="36">
        <v>0</v>
      </c>
    </row>
    <row r="139" spans="1:5" ht="36.75" customHeight="1">
      <c r="A139" s="7">
        <v>132</v>
      </c>
      <c r="B139" s="6" t="s">
        <v>229</v>
      </c>
      <c r="C139" s="7"/>
      <c r="D139" s="7"/>
      <c r="E139" s="36">
        <v>0</v>
      </c>
    </row>
    <row r="140" spans="1:5" ht="36.75" customHeight="1">
      <c r="A140" s="7">
        <v>133</v>
      </c>
      <c r="B140" s="6" t="s">
        <v>171</v>
      </c>
      <c r="C140" s="7"/>
      <c r="D140" s="7"/>
      <c r="E140" s="36">
        <v>0</v>
      </c>
    </row>
    <row r="141" spans="1:5" ht="36.75" customHeight="1">
      <c r="A141" s="7">
        <v>134</v>
      </c>
      <c r="B141" s="27" t="s">
        <v>209</v>
      </c>
      <c r="C141" s="27"/>
      <c r="D141" s="27"/>
      <c r="E141" s="36">
        <v>0</v>
      </c>
    </row>
    <row r="142" spans="1:5" ht="36.75" customHeight="1">
      <c r="A142" s="7">
        <v>135</v>
      </c>
      <c r="B142" s="6" t="s">
        <v>204</v>
      </c>
      <c r="C142" s="7" t="s">
        <v>205</v>
      </c>
      <c r="D142" s="7"/>
      <c r="E142" s="36">
        <v>25</v>
      </c>
    </row>
    <row r="143" spans="1:5" ht="36.75" customHeight="1">
      <c r="A143" s="7">
        <v>136</v>
      </c>
      <c r="B143" s="6" t="s">
        <v>215</v>
      </c>
      <c r="C143" s="7"/>
      <c r="D143" s="7"/>
      <c r="E143" s="36">
        <v>10</v>
      </c>
    </row>
    <row r="144" spans="1:5" ht="36.75" customHeight="1">
      <c r="A144" s="7">
        <v>137</v>
      </c>
      <c r="B144" s="6" t="s">
        <v>208</v>
      </c>
      <c r="C144" s="7" t="s">
        <v>206</v>
      </c>
      <c r="D144" s="7"/>
      <c r="E144" s="36">
        <v>4</v>
      </c>
    </row>
    <row r="145" spans="1:5" ht="36.75" customHeight="1">
      <c r="A145" s="7">
        <v>138</v>
      </c>
      <c r="B145" s="6" t="s">
        <v>207</v>
      </c>
      <c r="C145" s="7" t="s">
        <v>206</v>
      </c>
      <c r="D145" s="7"/>
      <c r="E145" s="36">
        <v>4</v>
      </c>
    </row>
    <row r="146" spans="1:5" ht="36.75" customHeight="1">
      <c r="A146" s="7">
        <v>139</v>
      </c>
      <c r="B146" s="27" t="s">
        <v>210</v>
      </c>
      <c r="C146" s="27"/>
      <c r="D146" s="27"/>
      <c r="E146" s="36">
        <v>0</v>
      </c>
    </row>
    <row r="147" spans="1:5" ht="36.75" customHeight="1">
      <c r="A147" s="7">
        <v>140</v>
      </c>
      <c r="B147" s="6" t="s">
        <v>211</v>
      </c>
      <c r="C147" s="7"/>
      <c r="D147" s="7"/>
      <c r="E147" s="36">
        <v>0</v>
      </c>
    </row>
    <row r="148" spans="1:5" ht="36.75" customHeight="1">
      <c r="A148" s="7">
        <v>141</v>
      </c>
      <c r="B148" s="6" t="s">
        <v>212</v>
      </c>
      <c r="C148" s="7"/>
      <c r="D148" s="7"/>
      <c r="E148" s="36">
        <v>0</v>
      </c>
    </row>
    <row r="149" spans="1:5" ht="36.75" customHeight="1">
      <c r="A149" s="7">
        <v>142</v>
      </c>
      <c r="B149" s="6" t="s">
        <v>213</v>
      </c>
      <c r="C149" s="7"/>
      <c r="D149" s="7"/>
      <c r="E149" s="36">
        <v>0</v>
      </c>
    </row>
    <row r="150" spans="1:5" ht="36.75" customHeight="1">
      <c r="A150" s="7">
        <v>143</v>
      </c>
      <c r="B150" s="6" t="s">
        <v>214</v>
      </c>
      <c r="C150" s="7"/>
      <c r="D150" s="7"/>
      <c r="E150" s="36">
        <v>0</v>
      </c>
    </row>
    <row r="151" spans="1:5" ht="36.75" customHeight="1">
      <c r="A151" s="7">
        <v>144</v>
      </c>
      <c r="B151" s="29" t="s">
        <v>114</v>
      </c>
      <c r="C151" s="29"/>
      <c r="D151" s="29"/>
      <c r="E151" s="36">
        <v>0</v>
      </c>
    </row>
    <row r="152" spans="1:5" ht="27.75" customHeight="1">
      <c r="B152" s="30" t="s">
        <v>227</v>
      </c>
      <c r="C152" s="31"/>
      <c r="D152" s="21"/>
    </row>
    <row r="153" spans="1:5" ht="23.25" customHeight="1">
      <c r="B153" s="18"/>
      <c r="C153" s="18"/>
      <c r="D153" s="18"/>
    </row>
    <row r="154" spans="1:5" ht="33.75" customHeight="1">
      <c r="B154" s="32" t="s">
        <v>200</v>
      </c>
      <c r="C154" s="33"/>
      <c r="D154" s="33"/>
    </row>
    <row r="155" spans="1:5" ht="22.5" customHeight="1">
      <c r="B155" s="34"/>
      <c r="C155" s="33"/>
      <c r="D155" s="33"/>
    </row>
    <row r="156" spans="1:5" ht="36.75" customHeight="1">
      <c r="B156" s="2"/>
    </row>
    <row r="157" spans="1:5" ht="36.75" customHeight="1">
      <c r="B157" s="2"/>
    </row>
    <row r="158" spans="1:5" ht="36.75" customHeight="1">
      <c r="B158" s="2"/>
    </row>
    <row r="159" spans="1:5" ht="36.75" customHeight="1">
      <c r="B159" s="2"/>
    </row>
    <row r="160" spans="1:5" ht="36.75" customHeight="1">
      <c r="B160" s="2"/>
    </row>
    <row r="161" spans="2:2" ht="36.75" customHeight="1">
      <c r="B161" s="2"/>
    </row>
    <row r="162" spans="2:2" ht="36.75" customHeight="1">
      <c r="B162" s="2"/>
    </row>
    <row r="163" spans="2:2" ht="36.75" customHeight="1">
      <c r="B163" s="2"/>
    </row>
    <row r="164" spans="2:2" ht="36.75" customHeight="1">
      <c r="B164" s="2"/>
    </row>
    <row r="165" spans="2:2" ht="36.75" customHeight="1">
      <c r="B165" s="2"/>
    </row>
    <row r="166" spans="2:2" ht="36.75" customHeight="1">
      <c r="B166" s="2"/>
    </row>
    <row r="167" spans="2:2" ht="36.75" customHeight="1">
      <c r="B167" s="2"/>
    </row>
    <row r="168" spans="2:2" ht="36.75" customHeight="1">
      <c r="B168" s="2"/>
    </row>
    <row r="169" spans="2:2" ht="36.75" customHeight="1">
      <c r="B169" s="2"/>
    </row>
    <row r="170" spans="2:2" ht="36.75" customHeight="1">
      <c r="B170" s="2"/>
    </row>
    <row r="171" spans="2:2" ht="36.75" customHeight="1">
      <c r="B171" s="2"/>
    </row>
    <row r="172" spans="2:2" ht="36.75" customHeight="1">
      <c r="B172" s="2"/>
    </row>
    <row r="173" spans="2:2" ht="36.75" customHeight="1">
      <c r="B173" s="2"/>
    </row>
    <row r="174" spans="2:2" ht="36.75" customHeight="1">
      <c r="B174" s="2"/>
    </row>
    <row r="175" spans="2:2" ht="36.75" customHeight="1">
      <c r="B175" s="2"/>
    </row>
    <row r="176" spans="2:2" ht="36.75" customHeight="1">
      <c r="B176" s="2"/>
    </row>
    <row r="177" spans="2:2" ht="36.75" customHeight="1">
      <c r="B177" s="2"/>
    </row>
    <row r="178" spans="2:2" ht="36.75" customHeight="1">
      <c r="B178" s="2"/>
    </row>
    <row r="179" spans="2:2" ht="36.75" customHeight="1">
      <c r="B179" s="2"/>
    </row>
    <row r="180" spans="2:2" ht="36.75" customHeight="1">
      <c r="B180" s="2"/>
    </row>
    <row r="181" spans="2:2" ht="36.75" customHeight="1">
      <c r="B181" s="2"/>
    </row>
    <row r="182" spans="2:2" ht="36.75" customHeight="1">
      <c r="B182" s="2"/>
    </row>
    <row r="183" spans="2:2" ht="36.75" customHeight="1">
      <c r="B183" s="2"/>
    </row>
    <row r="184" spans="2:2" ht="36.75" customHeight="1">
      <c r="B184" s="2"/>
    </row>
    <row r="185" spans="2:2" ht="36.75" customHeight="1">
      <c r="B185" s="2"/>
    </row>
    <row r="186" spans="2:2" ht="36.75" customHeight="1">
      <c r="B186" s="2"/>
    </row>
    <row r="187" spans="2:2" ht="36.75" customHeight="1">
      <c r="B187" s="2"/>
    </row>
    <row r="188" spans="2:2" ht="36.75" customHeight="1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</sheetData>
  <autoFilter ref="B1:D154"/>
  <pageMargins left="0.51" right="0.16" top="0.28000000000000003" bottom="0.34" header="0.23" footer="0.3"/>
  <pageSetup scale="7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"/>
  <sheetViews>
    <sheetView zoomScaleNormal="100" workbookViewId="0">
      <pane ySplit="3" topLeftCell="A12" activePane="bottomLeft" state="frozen"/>
      <selection pane="bottomLeft" activeCell="C19" sqref="C19"/>
    </sheetView>
  </sheetViews>
  <sheetFormatPr defaultColWidth="9.140625" defaultRowHeight="16.5"/>
  <cols>
    <col min="1" max="1" width="25.85546875" style="1" customWidth="1"/>
    <col min="2" max="2" width="21" style="2" customWidth="1"/>
    <col min="3" max="3" width="18.5703125" style="2" customWidth="1"/>
    <col min="4" max="4" width="7.85546875" style="11" customWidth="1"/>
    <col min="5" max="15" width="8.7109375" style="2" customWidth="1"/>
    <col min="16" max="16" width="9.140625" style="2"/>
    <col min="17" max="17" width="16.85546875" style="2" customWidth="1"/>
    <col min="18" max="16384" width="9.140625" style="2"/>
  </cols>
  <sheetData>
    <row r="1" spans="1:15" ht="46.5" customHeight="1">
      <c r="A1" s="273" t="s">
        <v>202</v>
      </c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</row>
    <row r="2" spans="1:15" ht="25.5" customHeight="1">
      <c r="B2" s="274"/>
      <c r="C2" s="274"/>
      <c r="D2" s="274"/>
      <c r="E2" s="274"/>
      <c r="F2" s="274"/>
      <c r="G2" s="275" t="s">
        <v>198</v>
      </c>
      <c r="H2" s="275"/>
      <c r="I2" s="275"/>
      <c r="J2" s="275"/>
      <c r="K2" s="275"/>
      <c r="L2" s="275"/>
      <c r="M2" s="275"/>
      <c r="N2" s="275"/>
      <c r="O2" s="275"/>
    </row>
    <row r="3" spans="1:15" ht="63.75" customHeight="1">
      <c r="A3" s="3" t="s">
        <v>0</v>
      </c>
      <c r="B3" s="4" t="s">
        <v>1</v>
      </c>
      <c r="C3" s="4" t="s">
        <v>2</v>
      </c>
      <c r="D3" s="5" t="s">
        <v>203</v>
      </c>
      <c r="E3" s="4" t="s">
        <v>216</v>
      </c>
      <c r="F3" s="4" t="s">
        <v>217</v>
      </c>
      <c r="G3" s="4" t="s">
        <v>218</v>
      </c>
      <c r="H3" s="4" t="s">
        <v>219</v>
      </c>
      <c r="I3" s="4" t="s">
        <v>220</v>
      </c>
      <c r="J3" s="4" t="s">
        <v>221</v>
      </c>
      <c r="K3" s="4" t="s">
        <v>222</v>
      </c>
      <c r="L3" s="4" t="s">
        <v>223</v>
      </c>
      <c r="M3" s="4" t="s">
        <v>224</v>
      </c>
      <c r="N3" s="4" t="s">
        <v>225</v>
      </c>
      <c r="O3" s="4" t="s">
        <v>226</v>
      </c>
    </row>
    <row r="4" spans="1:15" ht="30.75" customHeight="1">
      <c r="A4" s="276" t="s">
        <v>121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</row>
    <row r="5" spans="1:15" ht="36" customHeight="1">
      <c r="A5" s="6" t="s">
        <v>122</v>
      </c>
      <c r="B5" s="7" t="s">
        <v>123</v>
      </c>
      <c r="C5" s="7"/>
      <c r="D5" s="9">
        <f>6+6+6+6+6+6</f>
        <v>36</v>
      </c>
      <c r="E5" s="7"/>
      <c r="F5" s="10"/>
      <c r="G5" s="10"/>
      <c r="H5" s="7"/>
      <c r="I5" s="7"/>
      <c r="J5" s="7"/>
      <c r="K5" s="7"/>
      <c r="L5" s="7"/>
      <c r="M5" s="7"/>
      <c r="N5" s="7"/>
      <c r="O5" s="7"/>
    </row>
    <row r="6" spans="1:15" ht="36" customHeight="1">
      <c r="A6" s="6" t="s">
        <v>124</v>
      </c>
      <c r="B6" s="7" t="s">
        <v>125</v>
      </c>
      <c r="C6" s="7"/>
      <c r="D6" s="9">
        <f>1+5+6+1+6+6</f>
        <v>25</v>
      </c>
      <c r="E6" s="7"/>
      <c r="F6" s="10"/>
      <c r="G6" s="10"/>
      <c r="H6" s="7"/>
      <c r="I6" s="7"/>
      <c r="J6" s="7"/>
      <c r="K6" s="7">
        <v>1</v>
      </c>
      <c r="L6" s="7"/>
      <c r="M6" s="7">
        <v>1</v>
      </c>
      <c r="N6" s="7"/>
      <c r="O6" s="7"/>
    </row>
    <row r="7" spans="1:15" ht="36" customHeight="1">
      <c r="A7" s="6" t="s">
        <v>126</v>
      </c>
      <c r="B7" s="7" t="s">
        <v>127</v>
      </c>
      <c r="C7" s="7"/>
      <c r="D7" s="9">
        <v>10</v>
      </c>
      <c r="E7" s="7"/>
      <c r="F7" s="10"/>
      <c r="G7" s="10"/>
      <c r="H7" s="7"/>
      <c r="I7" s="7"/>
      <c r="J7" s="7"/>
      <c r="K7" s="7"/>
      <c r="L7" s="7"/>
      <c r="M7" s="7">
        <v>1</v>
      </c>
      <c r="N7" s="7"/>
      <c r="O7" s="7"/>
    </row>
    <row r="8" spans="1:15" ht="36" customHeight="1">
      <c r="A8" s="6" t="s">
        <v>128</v>
      </c>
      <c r="B8" s="7" t="s">
        <v>129</v>
      </c>
      <c r="C8" s="7"/>
      <c r="D8" s="9">
        <v>33</v>
      </c>
      <c r="E8" s="7"/>
      <c r="F8" s="10"/>
      <c r="G8" s="10"/>
      <c r="H8" s="7"/>
      <c r="I8" s="7"/>
      <c r="J8" s="7"/>
      <c r="K8" s="7"/>
      <c r="L8" s="7"/>
      <c r="M8" s="7"/>
      <c r="N8" s="7"/>
      <c r="O8" s="7"/>
    </row>
    <row r="9" spans="1:15" ht="36" customHeight="1">
      <c r="A9" s="6" t="s">
        <v>194</v>
      </c>
      <c r="B9" s="7" t="s">
        <v>130</v>
      </c>
      <c r="C9" s="7"/>
      <c r="D9" s="9">
        <v>5</v>
      </c>
      <c r="E9" s="7"/>
      <c r="F9" s="10"/>
      <c r="G9" s="10"/>
      <c r="H9" s="7"/>
      <c r="I9" s="7"/>
      <c r="J9" s="7"/>
      <c r="K9" s="7"/>
      <c r="L9" s="7"/>
      <c r="M9" s="7"/>
      <c r="N9" s="7"/>
      <c r="O9" s="7"/>
    </row>
    <row r="10" spans="1:15" ht="36" customHeight="1">
      <c r="A10" s="6" t="s">
        <v>131</v>
      </c>
      <c r="B10" s="7" t="s">
        <v>132</v>
      </c>
      <c r="C10" s="7"/>
      <c r="D10" s="9">
        <v>10</v>
      </c>
      <c r="E10" s="7"/>
      <c r="F10" s="10"/>
      <c r="G10" s="10"/>
      <c r="H10" s="7"/>
      <c r="I10" s="7"/>
      <c r="J10" s="7"/>
      <c r="K10" s="7"/>
      <c r="L10" s="7"/>
      <c r="M10" s="7"/>
      <c r="N10" s="7"/>
      <c r="O10" s="7"/>
    </row>
    <row r="11" spans="1:15" ht="36" customHeight="1">
      <c r="A11" s="6" t="s">
        <v>133</v>
      </c>
      <c r="B11" s="7" t="s">
        <v>135</v>
      </c>
      <c r="C11" s="7"/>
      <c r="D11" s="9"/>
      <c r="E11" s="7"/>
      <c r="F11" s="10"/>
      <c r="G11" s="10"/>
      <c r="H11" s="7"/>
      <c r="I11" s="7"/>
      <c r="J11" s="7"/>
      <c r="K11" s="7"/>
      <c r="L11" s="7"/>
      <c r="M11" s="7"/>
      <c r="N11" s="7"/>
      <c r="O11" s="7"/>
    </row>
    <row r="12" spans="1:15" ht="36" customHeight="1">
      <c r="A12" s="6" t="s">
        <v>3</v>
      </c>
      <c r="B12" s="7" t="s">
        <v>136</v>
      </c>
      <c r="C12" s="7"/>
      <c r="D12" s="9">
        <f>36+4</f>
        <v>40</v>
      </c>
      <c r="E12" s="7"/>
      <c r="F12" s="10"/>
      <c r="G12" s="10"/>
      <c r="H12" s="7"/>
      <c r="I12" s="7"/>
      <c r="J12" s="7"/>
      <c r="K12" s="7"/>
      <c r="L12" s="7"/>
      <c r="M12" s="7"/>
      <c r="N12" s="7"/>
      <c r="O12" s="7"/>
    </row>
    <row r="13" spans="1:15" ht="36" customHeight="1">
      <c r="A13" s="6" t="s">
        <v>192</v>
      </c>
      <c r="B13" s="7" t="s">
        <v>134</v>
      </c>
      <c r="C13" s="7"/>
      <c r="D13" s="9">
        <v>23</v>
      </c>
      <c r="E13" s="7"/>
      <c r="F13" s="10"/>
      <c r="G13" s="10"/>
      <c r="H13" s="7"/>
      <c r="I13" s="7"/>
      <c r="J13" s="7"/>
      <c r="K13" s="7"/>
      <c r="L13" s="7">
        <v>1</v>
      </c>
      <c r="M13" s="7"/>
      <c r="N13" s="7"/>
      <c r="O13" s="7"/>
    </row>
    <row r="14" spans="1:15" ht="36" customHeight="1">
      <c r="A14" s="6" t="s">
        <v>191</v>
      </c>
      <c r="B14" s="7" t="s">
        <v>138</v>
      </c>
      <c r="C14" s="7"/>
      <c r="D14" s="9">
        <v>14</v>
      </c>
      <c r="E14" s="7"/>
      <c r="F14" s="10"/>
      <c r="G14" s="10"/>
      <c r="H14" s="7"/>
      <c r="I14" s="7"/>
      <c r="J14" s="7"/>
      <c r="K14" s="7"/>
      <c r="L14" s="7"/>
      <c r="M14" s="7"/>
      <c r="N14" s="7"/>
      <c r="O14" s="7"/>
    </row>
    <row r="15" spans="1:15" ht="36" customHeight="1">
      <c r="A15" s="6" t="s">
        <v>193</v>
      </c>
      <c r="B15" s="7" t="s">
        <v>139</v>
      </c>
      <c r="C15" s="7"/>
      <c r="D15" s="9">
        <v>14</v>
      </c>
      <c r="E15" s="7"/>
      <c r="F15" s="10"/>
      <c r="G15" s="10"/>
      <c r="H15" s="7"/>
      <c r="I15" s="7"/>
      <c r="J15" s="7"/>
      <c r="K15" s="7"/>
      <c r="L15" s="7"/>
      <c r="M15" s="7"/>
      <c r="N15" s="7"/>
      <c r="O15" s="7"/>
    </row>
    <row r="16" spans="1:15" ht="36" customHeight="1">
      <c r="A16" s="6" t="s">
        <v>140</v>
      </c>
      <c r="B16" s="7" t="s">
        <v>141</v>
      </c>
      <c r="C16" s="7"/>
      <c r="D16" s="9">
        <v>20</v>
      </c>
      <c r="E16" s="7"/>
      <c r="F16" s="10"/>
      <c r="G16" s="10"/>
      <c r="H16" s="7"/>
      <c r="I16" s="7"/>
      <c r="J16" s="7"/>
      <c r="K16" s="7"/>
      <c r="L16" s="7"/>
      <c r="M16" s="7"/>
      <c r="N16" s="7"/>
      <c r="O16" s="7"/>
    </row>
    <row r="17" spans="1:15" ht="36" customHeight="1">
      <c r="A17" s="6" t="s">
        <v>142</v>
      </c>
      <c r="B17" s="7" t="s">
        <v>143</v>
      </c>
      <c r="C17" s="7"/>
      <c r="D17" s="9">
        <v>10</v>
      </c>
      <c r="E17" s="7"/>
      <c r="F17" s="10"/>
      <c r="G17" s="10"/>
      <c r="H17" s="7"/>
      <c r="I17" s="7"/>
      <c r="J17" s="7"/>
      <c r="K17" s="7"/>
      <c r="L17" s="7"/>
      <c r="M17" s="7"/>
      <c r="N17" s="7"/>
      <c r="O17" s="7"/>
    </row>
    <row r="18" spans="1:15" ht="36" customHeight="1">
      <c r="A18" s="6" t="s">
        <v>144</v>
      </c>
      <c r="B18" s="7" t="s">
        <v>145</v>
      </c>
      <c r="C18" s="7"/>
      <c r="D18" s="9">
        <f>40+16*3+2</f>
        <v>90</v>
      </c>
      <c r="E18" s="7"/>
      <c r="F18" s="10"/>
      <c r="G18" s="10"/>
      <c r="H18" s="7"/>
      <c r="I18" s="7"/>
      <c r="J18" s="7"/>
      <c r="K18" s="7"/>
      <c r="L18" s="7"/>
      <c r="M18" s="7"/>
      <c r="N18" s="7"/>
      <c r="O18" s="7"/>
    </row>
    <row r="19" spans="1:15" ht="36" customHeight="1">
      <c r="A19" s="6" t="s">
        <v>146</v>
      </c>
      <c r="B19" s="7" t="s">
        <v>147</v>
      </c>
      <c r="C19" s="7"/>
      <c r="D19" s="9"/>
      <c r="E19" s="7"/>
      <c r="F19" s="10"/>
      <c r="G19" s="10"/>
      <c r="H19" s="7"/>
      <c r="I19" s="7"/>
      <c r="J19" s="7"/>
      <c r="K19" s="7"/>
      <c r="L19" s="7"/>
      <c r="M19" s="7"/>
      <c r="N19" s="7"/>
      <c r="O19" s="7"/>
    </row>
    <row r="20" spans="1:15" ht="36" customHeight="1">
      <c r="A20" s="6" t="s">
        <v>148</v>
      </c>
      <c r="B20" s="7" t="s">
        <v>149</v>
      </c>
      <c r="C20" s="7"/>
      <c r="D20" s="9"/>
      <c r="E20" s="7"/>
      <c r="F20" s="10"/>
      <c r="G20" s="10"/>
      <c r="H20" s="7"/>
      <c r="I20" s="7"/>
      <c r="J20" s="7"/>
      <c r="K20" s="7"/>
      <c r="L20" s="7"/>
      <c r="M20" s="7"/>
      <c r="N20" s="7"/>
      <c r="O20" s="7"/>
    </row>
    <row r="21" spans="1:15" ht="36" customHeight="1">
      <c r="A21" s="6" t="s">
        <v>150</v>
      </c>
      <c r="B21" s="7" t="s">
        <v>151</v>
      </c>
      <c r="C21" s="7"/>
      <c r="D21" s="9"/>
      <c r="E21" s="7"/>
      <c r="F21" s="10"/>
      <c r="G21" s="10"/>
      <c r="H21" s="7"/>
      <c r="I21" s="7"/>
      <c r="J21" s="7"/>
      <c r="K21" s="7"/>
      <c r="L21" s="7"/>
      <c r="M21" s="7"/>
      <c r="N21" s="7"/>
      <c r="O21" s="7"/>
    </row>
    <row r="22" spans="1:15" ht="36" customHeight="1">
      <c r="A22" s="6" t="s">
        <v>152</v>
      </c>
      <c r="B22" s="7" t="s">
        <v>153</v>
      </c>
      <c r="C22" s="7"/>
      <c r="D22" s="9"/>
      <c r="E22" s="7"/>
      <c r="F22" s="10"/>
      <c r="G22" s="10"/>
      <c r="H22" s="7"/>
      <c r="I22" s="7"/>
      <c r="J22" s="7"/>
      <c r="K22" s="7"/>
      <c r="L22" s="7"/>
      <c r="M22" s="7"/>
      <c r="N22" s="7"/>
      <c r="O22" s="7"/>
    </row>
    <row r="23" spans="1:15" ht="36" customHeight="1">
      <c r="A23" s="6" t="s">
        <v>154</v>
      </c>
      <c r="B23" s="7" t="s">
        <v>155</v>
      </c>
      <c r="C23" s="7"/>
      <c r="D23" s="9">
        <v>5</v>
      </c>
      <c r="E23" s="7"/>
      <c r="F23" s="10"/>
      <c r="G23" s="10"/>
      <c r="H23" s="7"/>
      <c r="I23" s="7"/>
      <c r="J23" s="7"/>
      <c r="K23" s="7"/>
      <c r="L23" s="7"/>
      <c r="M23" s="7"/>
      <c r="N23" s="7"/>
      <c r="O23" s="7"/>
    </row>
    <row r="24" spans="1:15" ht="36" customHeight="1">
      <c r="A24" s="6" t="s">
        <v>156</v>
      </c>
      <c r="B24" s="7" t="s">
        <v>157</v>
      </c>
      <c r="C24" s="7"/>
      <c r="D24" s="9"/>
      <c r="E24" s="7"/>
      <c r="F24" s="10"/>
      <c r="G24" s="10"/>
      <c r="H24" s="7"/>
      <c r="I24" s="7"/>
      <c r="J24" s="7"/>
      <c r="K24" s="7"/>
      <c r="L24" s="7"/>
      <c r="M24" s="7"/>
      <c r="N24" s="7"/>
      <c r="O24" s="7"/>
    </row>
    <row r="25" spans="1:15" ht="36" customHeight="1">
      <c r="A25" s="6" t="s">
        <v>166</v>
      </c>
      <c r="B25" s="7" t="s">
        <v>167</v>
      </c>
      <c r="C25" s="7"/>
      <c r="D25" s="9"/>
      <c r="E25" s="7"/>
      <c r="F25" s="10"/>
      <c r="G25" s="10"/>
      <c r="H25" s="7"/>
      <c r="I25" s="7"/>
      <c r="J25" s="7"/>
      <c r="K25" s="7"/>
      <c r="L25" s="7"/>
      <c r="M25" s="7"/>
      <c r="N25" s="7"/>
      <c r="O25" s="7"/>
    </row>
    <row r="26" spans="1:15" ht="36" customHeight="1">
      <c r="A26" s="6" t="s">
        <v>197</v>
      </c>
      <c r="B26" s="7" t="s">
        <v>158</v>
      </c>
      <c r="C26" s="7"/>
      <c r="D26" s="9">
        <v>20</v>
      </c>
      <c r="E26" s="7"/>
      <c r="F26" s="10"/>
      <c r="G26" s="10"/>
      <c r="H26" s="7"/>
      <c r="I26" s="7"/>
      <c r="J26" s="7"/>
      <c r="K26" s="7"/>
      <c r="L26" s="7"/>
      <c r="M26" s="7"/>
      <c r="N26" s="7"/>
      <c r="O26" s="7"/>
    </row>
    <row r="27" spans="1:15" ht="36" customHeight="1">
      <c r="A27" s="6" t="s">
        <v>137</v>
      </c>
      <c r="B27" s="7" t="s">
        <v>159</v>
      </c>
      <c r="C27" s="7"/>
      <c r="D27" s="9"/>
      <c r="E27" s="7"/>
      <c r="F27" s="10"/>
      <c r="G27" s="10"/>
      <c r="H27" s="7"/>
      <c r="I27" s="7"/>
      <c r="J27" s="7"/>
      <c r="K27" s="7"/>
      <c r="L27" s="7"/>
      <c r="M27" s="7"/>
      <c r="N27" s="7"/>
      <c r="O27" s="7"/>
    </row>
    <row r="28" spans="1:15" ht="36" customHeight="1">
      <c r="A28" s="6" t="s">
        <v>160</v>
      </c>
      <c r="B28" s="7" t="s">
        <v>163</v>
      </c>
      <c r="C28" s="7"/>
      <c r="D28" s="9"/>
      <c r="E28" s="7"/>
      <c r="F28" s="10"/>
      <c r="G28" s="10"/>
      <c r="H28" s="7"/>
      <c r="I28" s="7"/>
      <c r="J28" s="7"/>
      <c r="K28" s="7"/>
      <c r="L28" s="7"/>
      <c r="M28" s="7"/>
      <c r="N28" s="7"/>
      <c r="O28" s="7"/>
    </row>
    <row r="29" spans="1:15" ht="36" customHeight="1">
      <c r="A29" s="6" t="s">
        <v>161</v>
      </c>
      <c r="B29" s="7" t="s">
        <v>164</v>
      </c>
      <c r="C29" s="7"/>
      <c r="D29" s="9"/>
      <c r="E29" s="7"/>
      <c r="F29" s="10"/>
      <c r="G29" s="10"/>
      <c r="H29" s="7"/>
      <c r="I29" s="7"/>
      <c r="J29" s="7"/>
      <c r="K29" s="7"/>
      <c r="L29" s="7"/>
      <c r="M29" s="7"/>
      <c r="N29" s="7"/>
      <c r="O29" s="7"/>
    </row>
    <row r="30" spans="1:15" ht="36" customHeight="1">
      <c r="A30" s="6" t="s">
        <v>162</v>
      </c>
      <c r="B30" s="7" t="s">
        <v>165</v>
      </c>
      <c r="C30" s="7"/>
      <c r="D30" s="9"/>
      <c r="E30" s="7"/>
      <c r="F30" s="10"/>
      <c r="G30" s="10"/>
      <c r="H30" s="7"/>
      <c r="I30" s="7"/>
      <c r="J30" s="7"/>
      <c r="K30" s="7"/>
      <c r="L30" s="7"/>
      <c r="M30" s="7"/>
      <c r="N30" s="7"/>
      <c r="O30" s="7"/>
    </row>
    <row r="31" spans="1:15" ht="36" customHeight="1">
      <c r="A31" s="276" t="s">
        <v>168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</row>
    <row r="32" spans="1:15" ht="36" customHeight="1">
      <c r="A32" s="6" t="s">
        <v>169</v>
      </c>
      <c r="B32" s="7">
        <v>55601</v>
      </c>
      <c r="C32" s="7"/>
      <c r="D32" s="9"/>
      <c r="E32" s="7"/>
      <c r="F32" s="10"/>
      <c r="G32" s="10"/>
      <c r="H32" s="7"/>
      <c r="I32" s="7"/>
      <c r="J32" s="7"/>
      <c r="K32" s="7"/>
      <c r="L32" s="7"/>
      <c r="M32" s="7"/>
      <c r="N32" s="7"/>
      <c r="O32" s="7"/>
    </row>
    <row r="33" spans="1:15" ht="36" customHeight="1">
      <c r="A33" s="6" t="s">
        <v>170</v>
      </c>
      <c r="B33" s="7">
        <v>55602</v>
      </c>
      <c r="C33" s="7"/>
      <c r="D33" s="20">
        <v>2</v>
      </c>
      <c r="E33" s="7"/>
      <c r="F33" s="10"/>
      <c r="G33" s="10"/>
      <c r="H33" s="7"/>
      <c r="I33" s="7"/>
      <c r="J33" s="7"/>
      <c r="K33" s="7"/>
      <c r="L33" s="7"/>
      <c r="M33" s="7"/>
      <c r="N33" s="7"/>
      <c r="O33" s="7"/>
    </row>
    <row r="34" spans="1:15" ht="36" customHeight="1">
      <c r="A34" s="6" t="s">
        <v>171</v>
      </c>
      <c r="B34" s="7">
        <v>55603</v>
      </c>
      <c r="C34" s="7"/>
      <c r="D34" s="20">
        <v>1</v>
      </c>
      <c r="E34" s="7"/>
      <c r="F34" s="10"/>
      <c r="G34" s="10"/>
      <c r="H34" s="7"/>
      <c r="I34" s="7"/>
      <c r="J34" s="7"/>
      <c r="K34" s="7"/>
      <c r="L34" s="7"/>
      <c r="M34" s="7"/>
      <c r="N34" s="7"/>
      <c r="O34" s="7"/>
    </row>
    <row r="35" spans="1:15" ht="36" customHeight="1">
      <c r="A35" s="6" t="s">
        <v>172</v>
      </c>
      <c r="B35" s="7"/>
      <c r="C35" s="7"/>
      <c r="D35" s="9"/>
      <c r="E35" s="7"/>
      <c r="F35" s="10"/>
      <c r="G35" s="10"/>
      <c r="H35" s="7"/>
      <c r="I35" s="7"/>
      <c r="J35" s="7"/>
      <c r="K35" s="7"/>
      <c r="L35" s="7"/>
      <c r="M35" s="7"/>
      <c r="N35" s="7"/>
      <c r="O35" s="7"/>
    </row>
    <row r="36" spans="1:15" ht="36" customHeight="1">
      <c r="A36" s="276" t="s">
        <v>173</v>
      </c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</row>
    <row r="37" spans="1:15" ht="36" customHeight="1">
      <c r="A37" s="6" t="s">
        <v>169</v>
      </c>
      <c r="B37" s="7" t="s">
        <v>174</v>
      </c>
      <c r="C37" s="7"/>
      <c r="D37" s="9"/>
      <c r="E37" s="7"/>
      <c r="F37" s="10"/>
      <c r="G37" s="10"/>
      <c r="H37" s="7"/>
      <c r="I37" s="7"/>
      <c r="J37" s="7"/>
      <c r="K37" s="7"/>
      <c r="L37" s="7"/>
      <c r="M37" s="7"/>
      <c r="N37" s="7"/>
      <c r="O37" s="7"/>
    </row>
    <row r="38" spans="1:15" ht="36" customHeight="1">
      <c r="A38" s="6" t="s">
        <v>169</v>
      </c>
      <c r="B38" s="7" t="s">
        <v>186</v>
      </c>
      <c r="C38" s="7"/>
      <c r="D38" s="9"/>
      <c r="E38" s="7"/>
      <c r="F38" s="10"/>
      <c r="G38" s="10"/>
      <c r="H38" s="7"/>
      <c r="I38" s="7"/>
      <c r="J38" s="7"/>
      <c r="K38" s="7"/>
      <c r="L38" s="7"/>
      <c r="M38" s="7"/>
      <c r="N38" s="7"/>
      <c r="O38" s="7"/>
    </row>
    <row r="39" spans="1:15" ht="36" customHeight="1">
      <c r="A39" s="6" t="s">
        <v>169</v>
      </c>
      <c r="B39" s="7" t="s">
        <v>175</v>
      </c>
      <c r="C39" s="7"/>
      <c r="D39" s="20">
        <v>2</v>
      </c>
      <c r="E39" s="7"/>
      <c r="F39" s="10"/>
      <c r="G39" s="10"/>
      <c r="H39" s="7"/>
      <c r="I39" s="7"/>
      <c r="J39" s="7"/>
      <c r="K39" s="7"/>
      <c r="L39" s="7">
        <v>1</v>
      </c>
      <c r="M39" s="7"/>
      <c r="N39" s="7"/>
      <c r="O39" s="7"/>
    </row>
    <row r="40" spans="1:15" ht="36" customHeight="1">
      <c r="A40" s="6" t="s">
        <v>169</v>
      </c>
      <c r="B40" s="7" t="s">
        <v>176</v>
      </c>
      <c r="C40" s="7"/>
      <c r="D40" s="20"/>
      <c r="E40" s="7"/>
      <c r="F40" s="10"/>
      <c r="G40" s="10"/>
      <c r="H40" s="7"/>
      <c r="I40" s="7"/>
      <c r="J40" s="7"/>
      <c r="K40" s="7"/>
      <c r="L40" s="7"/>
      <c r="M40" s="7"/>
      <c r="N40" s="7"/>
      <c r="O40" s="7"/>
    </row>
    <row r="41" spans="1:15" ht="36" customHeight="1">
      <c r="A41" s="6" t="s">
        <v>170</v>
      </c>
      <c r="B41" s="7" t="s">
        <v>177</v>
      </c>
      <c r="C41" s="7"/>
      <c r="D41" s="20">
        <v>2</v>
      </c>
      <c r="E41" s="7"/>
      <c r="F41" s="10"/>
      <c r="G41" s="10"/>
      <c r="H41" s="7"/>
      <c r="I41" s="7"/>
      <c r="J41" s="7"/>
      <c r="K41" s="7"/>
      <c r="L41" s="7"/>
      <c r="M41" s="7"/>
      <c r="N41" s="7"/>
      <c r="O41" s="7"/>
    </row>
    <row r="42" spans="1:15" ht="36" customHeight="1">
      <c r="A42" s="6" t="s">
        <v>171</v>
      </c>
      <c r="B42" s="7" t="s">
        <v>178</v>
      </c>
      <c r="C42" s="7"/>
      <c r="D42" s="9"/>
      <c r="E42" s="7"/>
      <c r="F42" s="10"/>
      <c r="G42" s="10"/>
      <c r="H42" s="7"/>
      <c r="I42" s="7"/>
      <c r="J42" s="7"/>
      <c r="K42" s="7"/>
      <c r="L42" s="7"/>
      <c r="M42" s="7"/>
      <c r="N42" s="7"/>
      <c r="O42" s="7"/>
    </row>
    <row r="43" spans="1:15" ht="36" customHeight="1">
      <c r="A43" s="6" t="s">
        <v>180</v>
      </c>
      <c r="B43" s="7" t="s">
        <v>179</v>
      </c>
      <c r="C43" s="7"/>
      <c r="D43" s="9"/>
      <c r="E43" s="7"/>
      <c r="F43" s="10"/>
      <c r="G43" s="10"/>
      <c r="H43" s="7"/>
      <c r="I43" s="7"/>
      <c r="J43" s="7"/>
      <c r="K43" s="7"/>
      <c r="L43" s="7"/>
      <c r="M43" s="7"/>
      <c r="N43" s="7"/>
      <c r="O43" s="7"/>
    </row>
    <row r="44" spans="1:15" ht="36" customHeight="1">
      <c r="A44" s="6" t="s">
        <v>181</v>
      </c>
      <c r="B44" s="7" t="s">
        <v>182</v>
      </c>
      <c r="C44" s="7"/>
      <c r="D44" s="9"/>
      <c r="E44" s="7"/>
      <c r="F44" s="10"/>
      <c r="G44" s="10"/>
      <c r="H44" s="7"/>
      <c r="I44" s="7"/>
      <c r="J44" s="7"/>
      <c r="K44" s="7"/>
      <c r="L44" s="7"/>
      <c r="M44" s="7"/>
      <c r="N44" s="7"/>
      <c r="O44" s="7"/>
    </row>
    <row r="45" spans="1:15" ht="36" customHeight="1">
      <c r="A45" s="6" t="s">
        <v>181</v>
      </c>
      <c r="B45" s="7" t="s">
        <v>183</v>
      </c>
      <c r="C45" s="7"/>
      <c r="D45" s="9"/>
      <c r="E45" s="7"/>
      <c r="F45" s="10"/>
      <c r="G45" s="10"/>
      <c r="H45" s="7"/>
      <c r="I45" s="7"/>
      <c r="J45" s="7"/>
      <c r="K45" s="7"/>
      <c r="L45" s="7"/>
      <c r="M45" s="7"/>
      <c r="N45" s="7"/>
      <c r="O45" s="7"/>
    </row>
    <row r="46" spans="1:15" ht="36" customHeight="1">
      <c r="A46" s="6" t="s">
        <v>184</v>
      </c>
      <c r="B46" s="7" t="s">
        <v>185</v>
      </c>
      <c r="C46" s="7"/>
      <c r="D46" s="9"/>
      <c r="E46" s="7"/>
      <c r="F46" s="10"/>
      <c r="G46" s="10"/>
      <c r="H46" s="7"/>
      <c r="I46" s="7"/>
      <c r="J46" s="7"/>
      <c r="K46" s="7"/>
      <c r="L46" s="7"/>
      <c r="M46" s="7"/>
      <c r="N46" s="7"/>
      <c r="O46" s="7"/>
    </row>
    <row r="47" spans="1:15" ht="36" customHeight="1">
      <c r="A47" s="6" t="s">
        <v>187</v>
      </c>
      <c r="B47" s="7" t="s">
        <v>188</v>
      </c>
      <c r="C47" s="7"/>
      <c r="D47" s="9"/>
      <c r="E47" s="7"/>
      <c r="F47" s="10"/>
      <c r="G47" s="10"/>
      <c r="H47" s="7"/>
      <c r="I47" s="7"/>
      <c r="J47" s="7"/>
      <c r="K47" s="7"/>
      <c r="L47" s="7"/>
      <c r="M47" s="7"/>
      <c r="N47" s="7"/>
      <c r="O47" s="7"/>
    </row>
    <row r="48" spans="1:15" ht="36" customHeight="1">
      <c r="A48" s="6" t="s">
        <v>195</v>
      </c>
      <c r="B48" s="7" t="s">
        <v>196</v>
      </c>
      <c r="C48" s="7"/>
      <c r="D48" s="9"/>
      <c r="E48" s="7"/>
      <c r="F48" s="10"/>
      <c r="G48" s="10"/>
      <c r="H48" s="7"/>
      <c r="I48" s="7"/>
      <c r="J48" s="7"/>
      <c r="K48" s="7"/>
      <c r="L48" s="7"/>
      <c r="M48" s="7"/>
      <c r="N48" s="7"/>
      <c r="O48" s="7"/>
    </row>
    <row r="49" spans="1:15" ht="36" customHeight="1">
      <c r="A49" s="6" t="s">
        <v>189</v>
      </c>
      <c r="B49" s="7" t="s">
        <v>190</v>
      </c>
      <c r="C49" s="7"/>
      <c r="D49" s="9"/>
      <c r="E49" s="7"/>
      <c r="F49" s="10"/>
      <c r="G49" s="10"/>
      <c r="H49" s="7"/>
      <c r="I49" s="7"/>
      <c r="J49" s="7"/>
      <c r="K49" s="7"/>
      <c r="L49" s="7"/>
      <c r="M49" s="7"/>
      <c r="N49" s="7"/>
      <c r="O49" s="7"/>
    </row>
    <row r="50" spans="1:15" ht="36" customHeight="1">
      <c r="A50" s="276" t="s">
        <v>116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</row>
    <row r="51" spans="1:15" ht="36" customHeight="1">
      <c r="A51" s="6" t="s">
        <v>3</v>
      </c>
      <c r="B51" s="7" t="s">
        <v>31</v>
      </c>
      <c r="C51" s="7"/>
      <c r="D51" s="9">
        <v>10</v>
      </c>
      <c r="E51" s="7"/>
      <c r="F51" s="10"/>
      <c r="G51" s="10"/>
      <c r="H51" s="7"/>
      <c r="I51" s="7"/>
      <c r="J51" s="7"/>
      <c r="K51" s="7"/>
      <c r="L51" s="7"/>
      <c r="M51" s="7"/>
      <c r="N51" s="7"/>
      <c r="O51" s="7"/>
    </row>
    <row r="52" spans="1:15" ht="36" customHeight="1">
      <c r="A52" s="6" t="s">
        <v>4</v>
      </c>
      <c r="B52" s="7" t="s">
        <v>32</v>
      </c>
      <c r="C52" s="7"/>
      <c r="D52" s="9">
        <v>14</v>
      </c>
      <c r="E52" s="7"/>
      <c r="F52" s="10"/>
      <c r="G52" s="10"/>
      <c r="H52" s="7"/>
      <c r="I52" s="7"/>
      <c r="J52" s="7"/>
      <c r="K52" s="7"/>
      <c r="L52" s="7"/>
      <c r="M52" s="7"/>
      <c r="N52" s="7"/>
      <c r="O52" s="7"/>
    </row>
    <row r="53" spans="1:15" ht="36" customHeight="1">
      <c r="A53" s="6" t="s">
        <v>22</v>
      </c>
      <c r="B53" s="7" t="s">
        <v>33</v>
      </c>
      <c r="C53" s="7"/>
      <c r="D53" s="9">
        <v>11</v>
      </c>
      <c r="E53" s="7"/>
      <c r="F53" s="10"/>
      <c r="G53" s="10"/>
      <c r="H53" s="7"/>
      <c r="I53" s="7"/>
      <c r="J53" s="7"/>
      <c r="K53" s="7"/>
      <c r="L53" s="7"/>
      <c r="M53" s="7"/>
      <c r="N53" s="7"/>
      <c r="O53" s="7"/>
    </row>
    <row r="54" spans="1:15" ht="36" customHeight="1">
      <c r="A54" s="6" t="s">
        <v>23</v>
      </c>
      <c r="B54" s="7" t="s">
        <v>34</v>
      </c>
      <c r="C54" s="7"/>
      <c r="D54" s="9">
        <v>4</v>
      </c>
      <c r="E54" s="7"/>
      <c r="F54" s="10"/>
      <c r="G54" s="10"/>
      <c r="H54" s="7"/>
      <c r="I54" s="7"/>
      <c r="J54" s="7"/>
      <c r="K54" s="7"/>
      <c r="L54" s="7"/>
      <c r="M54" s="7"/>
      <c r="N54" s="7"/>
      <c r="O54" s="7"/>
    </row>
    <row r="55" spans="1:15" ht="36" customHeight="1">
      <c r="A55" s="6" t="s">
        <v>24</v>
      </c>
      <c r="B55" s="7" t="s">
        <v>35</v>
      </c>
      <c r="C55" s="7"/>
      <c r="D55" s="9">
        <v>23</v>
      </c>
      <c r="E55" s="7"/>
      <c r="F55" s="10"/>
      <c r="G55" s="10"/>
      <c r="H55" s="7"/>
      <c r="I55" s="7"/>
      <c r="J55" s="7"/>
      <c r="K55" s="7"/>
      <c r="L55" s="7"/>
      <c r="M55" s="7"/>
      <c r="N55" s="7"/>
      <c r="O55" s="7"/>
    </row>
    <row r="56" spans="1:15" ht="36" customHeight="1">
      <c r="A56" s="6" t="s">
        <v>25</v>
      </c>
      <c r="B56" s="7" t="s">
        <v>36</v>
      </c>
      <c r="C56" s="7"/>
      <c r="D56" s="9">
        <v>4</v>
      </c>
      <c r="E56" s="7"/>
      <c r="F56" s="10"/>
      <c r="G56" s="10"/>
      <c r="H56" s="7"/>
      <c r="I56" s="7"/>
      <c r="J56" s="7"/>
      <c r="K56" s="7"/>
      <c r="L56" s="7"/>
      <c r="M56" s="7"/>
      <c r="N56" s="7"/>
      <c r="O56" s="7"/>
    </row>
    <row r="57" spans="1:15" ht="36" customHeight="1">
      <c r="A57" s="6" t="s">
        <v>6</v>
      </c>
      <c r="B57" s="7" t="s">
        <v>37</v>
      </c>
      <c r="C57" s="7"/>
      <c r="D57" s="9">
        <v>2</v>
      </c>
      <c r="E57" s="7"/>
      <c r="F57" s="10"/>
      <c r="G57" s="10"/>
      <c r="H57" s="7"/>
      <c r="I57" s="7"/>
      <c r="J57" s="7"/>
      <c r="K57" s="7"/>
      <c r="L57" s="7"/>
      <c r="M57" s="7"/>
      <c r="N57" s="7"/>
      <c r="O57" s="7"/>
    </row>
    <row r="58" spans="1:15" ht="36" customHeight="1">
      <c r="A58" s="6" t="s">
        <v>26</v>
      </c>
      <c r="B58" s="7" t="s">
        <v>38</v>
      </c>
      <c r="C58" s="7"/>
      <c r="D58" s="9"/>
      <c r="E58" s="7"/>
      <c r="F58" s="10"/>
      <c r="G58" s="10"/>
      <c r="H58" s="7"/>
      <c r="I58" s="7"/>
      <c r="J58" s="7"/>
      <c r="K58" s="7"/>
      <c r="L58" s="7"/>
      <c r="M58" s="7"/>
      <c r="N58" s="7"/>
      <c r="O58" s="7"/>
    </row>
    <row r="59" spans="1:15" ht="36" customHeight="1">
      <c r="A59" s="6" t="s">
        <v>27</v>
      </c>
      <c r="B59" s="7" t="s">
        <v>39</v>
      </c>
      <c r="C59" s="7"/>
      <c r="D59" s="9">
        <v>1</v>
      </c>
      <c r="E59" s="7"/>
      <c r="F59" s="10"/>
      <c r="G59" s="10"/>
      <c r="H59" s="7"/>
      <c r="I59" s="7"/>
      <c r="J59" s="7"/>
      <c r="K59" s="7"/>
      <c r="L59" s="7"/>
      <c r="M59" s="7"/>
      <c r="N59" s="7"/>
      <c r="O59" s="7"/>
    </row>
    <row r="60" spans="1:15" ht="36" customHeight="1">
      <c r="A60" s="6" t="s">
        <v>28</v>
      </c>
      <c r="B60" s="7" t="s">
        <v>40</v>
      </c>
      <c r="C60" s="7"/>
      <c r="D60" s="9"/>
      <c r="E60" s="7"/>
      <c r="F60" s="10"/>
      <c r="G60" s="10"/>
      <c r="H60" s="7"/>
      <c r="I60" s="7"/>
      <c r="J60" s="7"/>
      <c r="K60" s="7"/>
      <c r="L60" s="7"/>
      <c r="M60" s="7"/>
      <c r="N60" s="7"/>
      <c r="O60" s="7"/>
    </row>
    <row r="61" spans="1:15" ht="36" customHeight="1">
      <c r="A61" s="6" t="s">
        <v>105</v>
      </c>
      <c r="B61" s="7" t="s">
        <v>41</v>
      </c>
      <c r="C61" s="7"/>
      <c r="D61" s="9">
        <v>26</v>
      </c>
      <c r="E61" s="7"/>
      <c r="F61" s="10"/>
      <c r="G61" s="10"/>
      <c r="H61" s="7"/>
      <c r="I61" s="7"/>
      <c r="J61" s="7"/>
      <c r="K61" s="7"/>
      <c r="L61" s="7"/>
      <c r="M61" s="7"/>
      <c r="N61" s="7"/>
      <c r="O61" s="7"/>
    </row>
    <row r="62" spans="1:15" ht="27" customHeight="1">
      <c r="A62" s="278" t="s">
        <v>117</v>
      </c>
      <c r="B62" s="278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</row>
    <row r="63" spans="1:15" ht="36" customHeight="1">
      <c r="A63" s="6" t="s">
        <v>3</v>
      </c>
      <c r="B63" s="7" t="s">
        <v>10</v>
      </c>
      <c r="C63" s="8"/>
      <c r="D63" s="9">
        <v>1</v>
      </c>
      <c r="E63" s="7"/>
      <c r="F63" s="10"/>
      <c r="G63" s="10">
        <v>1</v>
      </c>
      <c r="H63" s="7"/>
      <c r="I63" s="7"/>
      <c r="J63" s="7"/>
      <c r="K63" s="7"/>
      <c r="L63" s="7"/>
      <c r="M63" s="7"/>
      <c r="N63" s="7"/>
      <c r="O63" s="7"/>
    </row>
    <row r="64" spans="1:15" ht="36" customHeight="1">
      <c r="A64" s="6" t="s">
        <v>4</v>
      </c>
      <c r="B64" s="7" t="s">
        <v>11</v>
      </c>
      <c r="C64" s="8"/>
      <c r="D64" s="9">
        <v>9</v>
      </c>
      <c r="E64" s="7"/>
      <c r="F64" s="10"/>
      <c r="G64" s="10"/>
      <c r="H64" s="7"/>
      <c r="I64" s="7"/>
      <c r="J64" s="7"/>
      <c r="K64" s="7"/>
      <c r="L64" s="7"/>
      <c r="M64" s="7"/>
      <c r="N64" s="7"/>
      <c r="O64" s="7"/>
    </row>
    <row r="65" spans="1:15" ht="36" customHeight="1">
      <c r="A65" s="6" t="s">
        <v>22</v>
      </c>
      <c r="B65" s="7" t="s">
        <v>19</v>
      </c>
      <c r="C65" s="8"/>
      <c r="D65" s="9">
        <v>3</v>
      </c>
      <c r="E65" s="7"/>
      <c r="F65" s="10"/>
      <c r="G65" s="10"/>
      <c r="H65" s="7"/>
      <c r="I65" s="7"/>
      <c r="J65" s="7"/>
      <c r="K65" s="7"/>
      <c r="L65" s="7"/>
      <c r="M65" s="7"/>
      <c r="N65" s="7"/>
      <c r="O65" s="7"/>
    </row>
    <row r="66" spans="1:15" ht="36" customHeight="1">
      <c r="A66" s="6" t="s">
        <v>23</v>
      </c>
      <c r="B66" s="7" t="s">
        <v>20</v>
      </c>
      <c r="C66" s="7"/>
      <c r="D66" s="9">
        <v>2</v>
      </c>
      <c r="E66" s="7"/>
      <c r="F66" s="10"/>
      <c r="G66" s="10"/>
      <c r="H66" s="7"/>
      <c r="I66" s="7"/>
      <c r="J66" s="7"/>
      <c r="K66" s="7"/>
      <c r="L66" s="7"/>
      <c r="M66" s="7"/>
      <c r="N66" s="7"/>
      <c r="O66" s="7"/>
    </row>
    <row r="67" spans="1:15" ht="36" customHeight="1">
      <c r="A67" s="6" t="s">
        <v>24</v>
      </c>
      <c r="B67" s="7" t="s">
        <v>21</v>
      </c>
      <c r="C67" s="7"/>
      <c r="D67" s="9">
        <v>18</v>
      </c>
      <c r="E67" s="7"/>
      <c r="F67" s="10"/>
      <c r="G67" s="10">
        <v>1</v>
      </c>
      <c r="H67" s="7"/>
      <c r="I67" s="7"/>
      <c r="J67" s="7"/>
      <c r="K67" s="7"/>
      <c r="L67" s="7"/>
      <c r="M67" s="7"/>
      <c r="N67" s="7"/>
      <c r="O67" s="7"/>
    </row>
    <row r="68" spans="1:15" ht="36" customHeight="1">
      <c r="A68" s="6" t="s">
        <v>25</v>
      </c>
      <c r="B68" s="7" t="s">
        <v>12</v>
      </c>
      <c r="C68" s="7"/>
      <c r="D68" s="9">
        <v>4</v>
      </c>
      <c r="E68" s="7"/>
      <c r="F68" s="10"/>
      <c r="G68" s="10"/>
      <c r="H68" s="7"/>
      <c r="I68" s="7"/>
      <c r="J68" s="7"/>
      <c r="K68" s="7"/>
      <c r="L68" s="7"/>
      <c r="M68" s="7"/>
      <c r="N68" s="7"/>
      <c r="O68" s="7"/>
    </row>
    <row r="69" spans="1:15" ht="36" customHeight="1">
      <c r="A69" s="6" t="s">
        <v>6</v>
      </c>
      <c r="B69" s="7" t="s">
        <v>13</v>
      </c>
      <c r="C69" s="7"/>
      <c r="D69" s="9">
        <v>2</v>
      </c>
      <c r="E69" s="7"/>
      <c r="F69" s="10"/>
      <c r="G69" s="10"/>
      <c r="H69" s="7"/>
      <c r="I69" s="7"/>
      <c r="J69" s="7"/>
      <c r="K69" s="7"/>
      <c r="L69" s="7"/>
      <c r="M69" s="7"/>
      <c r="N69" s="7"/>
      <c r="O69" s="7"/>
    </row>
    <row r="70" spans="1:15" ht="36" customHeight="1">
      <c r="A70" s="6" t="s">
        <v>26</v>
      </c>
      <c r="B70" s="7" t="s">
        <v>14</v>
      </c>
      <c r="C70" s="7"/>
      <c r="D70" s="9">
        <v>4</v>
      </c>
      <c r="E70" s="7"/>
      <c r="F70" s="10"/>
      <c r="G70" s="10"/>
      <c r="H70" s="7"/>
      <c r="I70" s="7"/>
      <c r="J70" s="7"/>
      <c r="K70" s="7"/>
      <c r="L70" s="7"/>
      <c r="M70" s="7"/>
      <c r="N70" s="7"/>
      <c r="O70" s="7"/>
    </row>
    <row r="71" spans="1:15" ht="36" customHeight="1">
      <c r="A71" s="6" t="s">
        <v>27</v>
      </c>
      <c r="B71" s="7" t="s">
        <v>15</v>
      </c>
      <c r="C71" s="7"/>
      <c r="D71" s="9">
        <v>1</v>
      </c>
      <c r="E71" s="7"/>
      <c r="F71" s="10"/>
      <c r="G71" s="10"/>
      <c r="H71" s="7"/>
      <c r="I71" s="7"/>
      <c r="J71" s="7"/>
      <c r="K71" s="7"/>
      <c r="L71" s="7"/>
      <c r="M71" s="7">
        <v>1</v>
      </c>
      <c r="N71" s="7"/>
      <c r="O71" s="7"/>
    </row>
    <row r="72" spans="1:15" ht="36" customHeight="1">
      <c r="A72" s="6" t="s">
        <v>28</v>
      </c>
      <c r="B72" s="7" t="s">
        <v>16</v>
      </c>
      <c r="C72" s="7"/>
      <c r="D72" s="9">
        <v>1</v>
      </c>
      <c r="E72" s="7"/>
      <c r="F72" s="10"/>
      <c r="G72" s="10"/>
      <c r="H72" s="7"/>
      <c r="I72" s="7"/>
      <c r="J72" s="7"/>
      <c r="K72" s="7">
        <v>1</v>
      </c>
      <c r="L72" s="7"/>
      <c r="M72" s="7"/>
      <c r="N72" s="7"/>
      <c r="O72" s="7"/>
    </row>
    <row r="73" spans="1:15" ht="36" customHeight="1">
      <c r="A73" s="6" t="s">
        <v>9</v>
      </c>
      <c r="B73" s="7" t="s">
        <v>17</v>
      </c>
      <c r="C73" s="7"/>
      <c r="D73" s="9">
        <v>33</v>
      </c>
      <c r="E73" s="7"/>
      <c r="F73" s="10"/>
      <c r="G73" s="10"/>
      <c r="H73" s="7"/>
      <c r="I73" s="7"/>
      <c r="J73" s="7"/>
      <c r="K73" s="7"/>
      <c r="L73" s="7"/>
      <c r="M73" s="7"/>
      <c r="N73" s="7"/>
      <c r="O73" s="7"/>
    </row>
    <row r="74" spans="1:15" ht="36" customHeight="1">
      <c r="A74" s="6" t="s">
        <v>105</v>
      </c>
      <c r="B74" s="7" t="s">
        <v>18</v>
      </c>
      <c r="C74" s="7"/>
      <c r="D74" s="9">
        <v>16</v>
      </c>
      <c r="E74" s="7"/>
      <c r="F74" s="10"/>
      <c r="G74" s="10"/>
      <c r="H74" s="7"/>
      <c r="I74" s="7"/>
      <c r="J74" s="7"/>
      <c r="K74" s="7"/>
      <c r="L74" s="7"/>
      <c r="M74" s="7"/>
      <c r="N74" s="7"/>
      <c r="O74" s="7"/>
    </row>
    <row r="75" spans="1:15" ht="36" customHeight="1">
      <c r="A75" s="6" t="s">
        <v>107</v>
      </c>
      <c r="B75" s="7" t="s">
        <v>29</v>
      </c>
      <c r="C75" s="7"/>
      <c r="D75" s="9">
        <f>12+16+9+16*3</f>
        <v>85</v>
      </c>
      <c r="E75" s="7"/>
      <c r="F75" s="10"/>
      <c r="G75" s="10"/>
      <c r="H75" s="7"/>
      <c r="I75" s="7"/>
      <c r="J75" s="7"/>
      <c r="K75" s="7"/>
      <c r="L75" s="7"/>
      <c r="M75" s="7"/>
      <c r="N75" s="7"/>
      <c r="O75" s="7"/>
    </row>
    <row r="76" spans="1:15" ht="36" customHeight="1">
      <c r="A76" s="6" t="s">
        <v>106</v>
      </c>
      <c r="B76" s="7" t="s">
        <v>30</v>
      </c>
      <c r="C76" s="7"/>
      <c r="D76" s="9">
        <v>3</v>
      </c>
      <c r="E76" s="7"/>
      <c r="F76" s="10"/>
      <c r="G76" s="10"/>
      <c r="H76" s="7"/>
      <c r="I76" s="7"/>
      <c r="J76" s="7"/>
      <c r="K76" s="7"/>
      <c r="L76" s="7"/>
      <c r="M76" s="7"/>
      <c r="N76" s="7"/>
      <c r="O76" s="7"/>
    </row>
    <row r="77" spans="1:15" ht="36.75" customHeight="1">
      <c r="A77" s="263" t="s">
        <v>118</v>
      </c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</row>
    <row r="78" spans="1:15" ht="36.75" customHeight="1">
      <c r="A78" s="6" t="s">
        <v>7</v>
      </c>
      <c r="B78" s="7" t="s">
        <v>47</v>
      </c>
      <c r="C78" s="7"/>
      <c r="D78" s="9">
        <v>16</v>
      </c>
      <c r="E78" s="7"/>
      <c r="F78" s="10"/>
      <c r="G78" s="10"/>
      <c r="H78" s="7"/>
      <c r="I78" s="7"/>
      <c r="J78" s="7"/>
      <c r="K78" s="7"/>
      <c r="L78" s="7"/>
      <c r="M78" s="7">
        <v>1</v>
      </c>
      <c r="N78" s="7"/>
      <c r="O78" s="7"/>
    </row>
    <row r="79" spans="1:15" ht="36.75" customHeight="1">
      <c r="A79" s="6" t="s">
        <v>8</v>
      </c>
      <c r="B79" s="7" t="s">
        <v>48</v>
      </c>
      <c r="C79" s="7"/>
      <c r="D79" s="9">
        <v>23</v>
      </c>
      <c r="E79" s="7"/>
      <c r="F79" s="10"/>
      <c r="G79" s="10"/>
      <c r="H79" s="7"/>
      <c r="I79" s="7"/>
      <c r="J79" s="7"/>
      <c r="K79" s="7"/>
      <c r="L79" s="7"/>
      <c r="M79" s="7">
        <v>1</v>
      </c>
      <c r="N79" s="7"/>
      <c r="O79" s="7"/>
    </row>
    <row r="80" spans="1:15" ht="36.75" customHeight="1">
      <c r="A80" s="6" t="s">
        <v>42</v>
      </c>
      <c r="B80" s="7" t="s">
        <v>49</v>
      </c>
      <c r="C80" s="7"/>
      <c r="D80" s="9">
        <v>5</v>
      </c>
      <c r="E80" s="7"/>
      <c r="F80" s="10"/>
      <c r="G80" s="10"/>
      <c r="H80" s="7"/>
      <c r="I80" s="7"/>
      <c r="J80" s="7"/>
      <c r="K80" s="7"/>
      <c r="L80" s="7"/>
      <c r="M80" s="7"/>
      <c r="N80" s="7"/>
      <c r="O80" s="7"/>
    </row>
    <row r="81" spans="1:15" ht="36.75" customHeight="1">
      <c r="A81" s="6" t="s">
        <v>43</v>
      </c>
      <c r="B81" s="7" t="s">
        <v>50</v>
      </c>
      <c r="C81" s="7"/>
      <c r="D81" s="9"/>
      <c r="E81" s="7"/>
      <c r="F81" s="10"/>
      <c r="G81" s="10"/>
      <c r="H81" s="7"/>
      <c r="I81" s="7"/>
      <c r="J81" s="7"/>
      <c r="K81" s="7"/>
      <c r="L81" s="7"/>
      <c r="M81" s="7"/>
      <c r="N81" s="7"/>
      <c r="O81" s="7"/>
    </row>
    <row r="82" spans="1:15" ht="36.75" customHeight="1">
      <c r="A82" s="6" t="s">
        <v>27</v>
      </c>
      <c r="B82" s="7" t="s">
        <v>51</v>
      </c>
      <c r="C82" s="7"/>
      <c r="D82" s="20">
        <v>18</v>
      </c>
      <c r="E82" s="7"/>
      <c r="F82" s="10"/>
      <c r="G82" s="10"/>
      <c r="H82" s="7"/>
      <c r="I82" s="7"/>
      <c r="J82" s="7"/>
      <c r="K82" s="7"/>
      <c r="L82" s="7"/>
      <c r="M82" s="7"/>
      <c r="N82" s="7"/>
      <c r="O82" s="7"/>
    </row>
    <row r="83" spans="1:15" ht="36.75" customHeight="1">
      <c r="A83" s="6" t="s">
        <v>44</v>
      </c>
      <c r="B83" s="7" t="s">
        <v>52</v>
      </c>
      <c r="C83" s="7"/>
      <c r="D83" s="20">
        <v>1</v>
      </c>
      <c r="E83" s="7"/>
      <c r="F83" s="10"/>
      <c r="G83" s="10"/>
      <c r="H83" s="7"/>
      <c r="I83" s="7"/>
      <c r="J83" s="7"/>
      <c r="K83" s="7"/>
      <c r="L83" s="7"/>
      <c r="M83" s="7"/>
      <c r="N83" s="7"/>
      <c r="O83" s="7"/>
    </row>
    <row r="84" spans="1:15" ht="36.75" customHeight="1">
      <c r="A84" s="6" t="s">
        <v>45</v>
      </c>
      <c r="B84" s="7" t="s">
        <v>55</v>
      </c>
      <c r="C84" s="7"/>
      <c r="D84" s="9"/>
      <c r="E84" s="7"/>
      <c r="F84" s="10"/>
      <c r="G84" s="10"/>
      <c r="H84" s="7"/>
      <c r="I84" s="7"/>
      <c r="J84" s="7"/>
      <c r="K84" s="7"/>
      <c r="L84" s="7"/>
      <c r="M84" s="7"/>
      <c r="N84" s="7"/>
      <c r="O84" s="7"/>
    </row>
    <row r="85" spans="1:15" ht="36.75" customHeight="1">
      <c r="A85" s="6" t="s">
        <v>46</v>
      </c>
      <c r="B85" s="7" t="s">
        <v>56</v>
      </c>
      <c r="C85" s="7"/>
      <c r="D85" s="9"/>
      <c r="E85" s="7"/>
      <c r="F85" s="10"/>
      <c r="G85" s="10"/>
      <c r="H85" s="7"/>
      <c r="I85" s="7"/>
      <c r="J85" s="7"/>
      <c r="K85" s="7"/>
      <c r="L85" s="7"/>
      <c r="M85" s="7"/>
      <c r="N85" s="7"/>
      <c r="O85" s="7"/>
    </row>
    <row r="86" spans="1:15" ht="36.75" customHeight="1">
      <c r="A86" s="6" t="s">
        <v>109</v>
      </c>
      <c r="B86" s="7" t="s">
        <v>53</v>
      </c>
      <c r="C86" s="7"/>
      <c r="D86" s="9">
        <f>22+10+1+20</f>
        <v>53</v>
      </c>
      <c r="E86" s="7"/>
      <c r="F86" s="10"/>
      <c r="G86" s="10"/>
      <c r="H86" s="7"/>
      <c r="I86" s="7"/>
      <c r="J86" s="7"/>
      <c r="K86" s="7"/>
      <c r="L86" s="7"/>
      <c r="M86" s="7"/>
      <c r="N86" s="7"/>
      <c r="O86" s="7"/>
    </row>
    <row r="87" spans="1:15" ht="36.75" customHeight="1">
      <c r="A87" s="6" t="s">
        <v>108</v>
      </c>
      <c r="B87" s="7" t="s">
        <v>54</v>
      </c>
      <c r="C87" s="7"/>
      <c r="D87" s="9"/>
      <c r="E87" s="7"/>
      <c r="F87" s="10"/>
      <c r="G87" s="10"/>
      <c r="H87" s="7"/>
      <c r="I87" s="7"/>
      <c r="J87" s="7"/>
      <c r="K87" s="7"/>
      <c r="L87" s="7"/>
      <c r="M87" s="7"/>
      <c r="N87" s="7"/>
      <c r="O87" s="7"/>
    </row>
    <row r="88" spans="1:15" ht="36.75" customHeight="1">
      <c r="A88" s="263" t="s">
        <v>119</v>
      </c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</row>
    <row r="89" spans="1:15" ht="36.75" customHeight="1">
      <c r="A89" s="6" t="s">
        <v>7</v>
      </c>
      <c r="B89" s="7" t="s">
        <v>60</v>
      </c>
      <c r="C89" s="7"/>
      <c r="D89" s="9">
        <v>10</v>
      </c>
      <c r="E89" s="7"/>
      <c r="F89" s="10"/>
      <c r="G89" s="10"/>
      <c r="H89" s="7"/>
      <c r="I89" s="7"/>
      <c r="J89" s="7"/>
      <c r="K89" s="7"/>
      <c r="L89" s="7"/>
      <c r="M89" s="7"/>
      <c r="N89" s="7"/>
      <c r="O89" s="7"/>
    </row>
    <row r="90" spans="1:15" ht="36.75" customHeight="1">
      <c r="A90" s="6" t="s">
        <v>57</v>
      </c>
      <c r="B90" s="7" t="s">
        <v>61</v>
      </c>
      <c r="C90" s="7"/>
      <c r="D90" s="9">
        <v>3</v>
      </c>
      <c r="E90" s="7"/>
      <c r="F90" s="10"/>
      <c r="G90" s="10"/>
      <c r="H90" s="7"/>
      <c r="I90" s="7"/>
      <c r="J90" s="7"/>
      <c r="K90" s="7"/>
      <c r="L90" s="7"/>
      <c r="M90" s="7"/>
      <c r="N90" s="7"/>
      <c r="O90" s="7"/>
    </row>
    <row r="91" spans="1:15" ht="36.75" customHeight="1">
      <c r="A91" s="6" t="s">
        <v>44</v>
      </c>
      <c r="B91" s="7" t="s">
        <v>62</v>
      </c>
      <c r="C91" s="7"/>
      <c r="D91" s="9">
        <v>3</v>
      </c>
      <c r="E91" s="7"/>
      <c r="F91" s="10"/>
      <c r="G91" s="10"/>
      <c r="H91" s="7"/>
      <c r="I91" s="7"/>
      <c r="J91" s="7"/>
      <c r="K91" s="7"/>
      <c r="L91" s="7"/>
      <c r="M91" s="7">
        <v>1</v>
      </c>
      <c r="N91" s="7"/>
      <c r="O91" s="7"/>
    </row>
    <row r="92" spans="1:15" ht="36.75" customHeight="1">
      <c r="A92" s="6" t="s">
        <v>58</v>
      </c>
      <c r="B92" s="7" t="s">
        <v>63</v>
      </c>
      <c r="C92" s="7"/>
      <c r="D92" s="9">
        <v>4</v>
      </c>
      <c r="E92" s="7"/>
      <c r="F92" s="10"/>
      <c r="G92" s="10"/>
      <c r="H92" s="7"/>
      <c r="I92" s="7"/>
      <c r="J92" s="7"/>
      <c r="K92" s="7"/>
      <c r="L92" s="7"/>
      <c r="M92" s="7"/>
      <c r="N92" s="7"/>
      <c r="O92" s="7"/>
    </row>
    <row r="93" spans="1:15" ht="36.75" customHeight="1">
      <c r="A93" s="6" t="s">
        <v>58</v>
      </c>
      <c r="B93" s="7" t="s">
        <v>64</v>
      </c>
      <c r="C93" s="7"/>
      <c r="D93" s="9">
        <v>4</v>
      </c>
      <c r="E93" s="7"/>
      <c r="F93" s="10"/>
      <c r="G93" s="10"/>
      <c r="H93" s="7"/>
      <c r="I93" s="7"/>
      <c r="J93" s="7"/>
      <c r="K93" s="7"/>
      <c r="L93" s="7">
        <v>1</v>
      </c>
      <c r="M93" s="7"/>
      <c r="N93" s="7"/>
      <c r="O93" s="7"/>
    </row>
    <row r="94" spans="1:15" ht="36.75" customHeight="1">
      <c r="A94" s="6" t="s">
        <v>8</v>
      </c>
      <c r="B94" s="7" t="s">
        <v>65</v>
      </c>
      <c r="C94" s="7"/>
      <c r="D94" s="9">
        <f>3+2*5+4+2*9</f>
        <v>35</v>
      </c>
      <c r="E94" s="7"/>
      <c r="F94" s="10"/>
      <c r="G94" s="10"/>
      <c r="H94" s="7"/>
      <c r="I94" s="7"/>
      <c r="J94" s="7"/>
      <c r="K94" s="7"/>
      <c r="L94" s="7"/>
      <c r="M94" s="7"/>
      <c r="N94" s="7"/>
      <c r="O94" s="7"/>
    </row>
    <row r="95" spans="1:15" ht="36.75" customHeight="1">
      <c r="A95" s="6" t="s">
        <v>42</v>
      </c>
      <c r="B95" s="7" t="s">
        <v>66</v>
      </c>
      <c r="C95" s="7"/>
      <c r="D95" s="9">
        <v>23</v>
      </c>
      <c r="E95" s="7"/>
      <c r="F95" s="10"/>
      <c r="G95" s="10"/>
      <c r="H95" s="7"/>
      <c r="I95" s="7"/>
      <c r="J95" s="7"/>
      <c r="K95" s="7"/>
      <c r="L95" s="7"/>
      <c r="M95" s="7"/>
      <c r="N95" s="7"/>
      <c r="O95" s="7"/>
    </row>
    <row r="96" spans="1:15" ht="36.75" customHeight="1">
      <c r="A96" s="6" t="s">
        <v>43</v>
      </c>
      <c r="B96" s="7" t="s">
        <v>67</v>
      </c>
      <c r="C96" s="7"/>
      <c r="D96" s="9"/>
      <c r="E96" s="7"/>
      <c r="F96" s="10"/>
      <c r="G96" s="10"/>
      <c r="H96" s="7"/>
      <c r="I96" s="7"/>
      <c r="J96" s="7"/>
      <c r="K96" s="7"/>
      <c r="L96" s="7"/>
      <c r="M96" s="7"/>
      <c r="N96" s="7"/>
      <c r="O96" s="7"/>
    </row>
    <row r="97" spans="1:15" ht="36.75" customHeight="1">
      <c r="A97" s="6" t="s">
        <v>45</v>
      </c>
      <c r="B97" s="7" t="s">
        <v>68</v>
      </c>
      <c r="C97" s="7"/>
      <c r="D97" s="9">
        <v>1</v>
      </c>
      <c r="E97" s="7"/>
      <c r="F97" s="10"/>
      <c r="G97" s="10"/>
      <c r="H97" s="7"/>
      <c r="I97" s="7"/>
      <c r="J97" s="7"/>
      <c r="K97" s="7"/>
      <c r="L97" s="7"/>
      <c r="M97" s="7"/>
      <c r="N97" s="7"/>
      <c r="O97" s="7"/>
    </row>
    <row r="98" spans="1:15" ht="36.75" customHeight="1">
      <c r="A98" s="6" t="s">
        <v>59</v>
      </c>
      <c r="B98" s="7" t="s">
        <v>69</v>
      </c>
      <c r="C98" s="7"/>
      <c r="D98" s="9"/>
      <c r="E98" s="7"/>
      <c r="F98" s="10"/>
      <c r="G98" s="10"/>
      <c r="H98" s="7"/>
      <c r="I98" s="7"/>
      <c r="J98" s="7"/>
      <c r="K98" s="7"/>
      <c r="L98" s="7"/>
      <c r="M98" s="7"/>
      <c r="N98" s="7"/>
      <c r="O98" s="7"/>
    </row>
    <row r="99" spans="1:15" ht="36.75" customHeight="1">
      <c r="A99" s="6" t="s">
        <v>110</v>
      </c>
      <c r="B99" s="7" t="s">
        <v>70</v>
      </c>
      <c r="C99" s="7"/>
      <c r="D99" s="9">
        <v>12</v>
      </c>
      <c r="E99" s="7"/>
      <c r="F99" s="10"/>
      <c r="G99" s="10"/>
      <c r="H99" s="7"/>
      <c r="I99" s="7"/>
      <c r="J99" s="7"/>
      <c r="K99" s="7"/>
      <c r="L99" s="7"/>
      <c r="M99" s="7"/>
      <c r="N99" s="7"/>
      <c r="O99" s="7"/>
    </row>
    <row r="100" spans="1:15" ht="36.75" customHeight="1">
      <c r="A100" s="6" t="s">
        <v>111</v>
      </c>
      <c r="B100" s="7" t="s">
        <v>71</v>
      </c>
      <c r="C100" s="7"/>
      <c r="D100" s="9"/>
      <c r="E100" s="7"/>
      <c r="F100" s="10"/>
      <c r="G100" s="10"/>
      <c r="H100" s="7"/>
      <c r="I100" s="7"/>
      <c r="J100" s="7"/>
      <c r="K100" s="7"/>
      <c r="L100" s="7"/>
      <c r="M100" s="7"/>
      <c r="N100" s="7"/>
      <c r="O100" s="7"/>
    </row>
    <row r="101" spans="1:15" ht="9.75" customHeight="1">
      <c r="A101" s="6"/>
      <c r="B101" s="7"/>
      <c r="C101" s="7"/>
      <c r="D101" s="9"/>
      <c r="E101" s="7"/>
      <c r="F101" s="10"/>
      <c r="G101" s="10"/>
      <c r="H101" s="7"/>
      <c r="I101" s="7"/>
      <c r="J101" s="7"/>
      <c r="K101" s="7"/>
      <c r="L101" s="7"/>
      <c r="M101" s="7"/>
      <c r="N101" s="7"/>
      <c r="O101" s="7"/>
    </row>
    <row r="102" spans="1:15" ht="36.75" customHeight="1">
      <c r="A102" s="6" t="s">
        <v>72</v>
      </c>
      <c r="B102" s="7" t="s">
        <v>80</v>
      </c>
      <c r="C102" s="7"/>
      <c r="D102" s="9">
        <v>12</v>
      </c>
      <c r="E102" s="7"/>
      <c r="F102" s="10"/>
      <c r="G102" s="10"/>
      <c r="H102" s="7"/>
      <c r="I102" s="7"/>
      <c r="J102" s="7"/>
      <c r="K102" s="7"/>
      <c r="L102" s="7"/>
      <c r="M102" s="7"/>
      <c r="N102" s="7"/>
      <c r="O102" s="7"/>
    </row>
    <row r="103" spans="1:15" ht="36.75" customHeight="1">
      <c r="A103" s="6" t="s">
        <v>73</v>
      </c>
      <c r="B103" s="7" t="s">
        <v>81</v>
      </c>
      <c r="C103" s="7"/>
      <c r="D103" s="9"/>
      <c r="E103" s="7"/>
      <c r="F103" s="10"/>
      <c r="G103" s="10"/>
      <c r="H103" s="7"/>
      <c r="I103" s="7"/>
      <c r="J103" s="7"/>
      <c r="K103" s="7"/>
      <c r="L103" s="7"/>
      <c r="M103" s="7"/>
      <c r="N103" s="7"/>
      <c r="O103" s="7"/>
    </row>
    <row r="104" spans="1:15" ht="36.75" customHeight="1">
      <c r="A104" s="6" t="s">
        <v>74</v>
      </c>
      <c r="B104" s="7" t="s">
        <v>82</v>
      </c>
      <c r="C104" s="7"/>
      <c r="D104" s="9">
        <v>3</v>
      </c>
      <c r="E104" s="7"/>
      <c r="F104" s="10"/>
      <c r="G104" s="10"/>
      <c r="H104" s="7"/>
      <c r="I104" s="7"/>
      <c r="J104" s="7"/>
      <c r="K104" s="7"/>
      <c r="L104" s="7"/>
      <c r="M104" s="7"/>
      <c r="N104" s="7"/>
      <c r="O104" s="7"/>
    </row>
    <row r="105" spans="1:15" ht="36.75" customHeight="1">
      <c r="A105" s="6" t="s">
        <v>75</v>
      </c>
      <c r="B105" s="7" t="s">
        <v>83</v>
      </c>
      <c r="C105" s="7"/>
      <c r="D105" s="9">
        <v>3</v>
      </c>
      <c r="E105" s="7"/>
      <c r="F105" s="10"/>
      <c r="G105" s="10"/>
      <c r="H105" s="7"/>
      <c r="I105" s="7"/>
      <c r="J105" s="7"/>
      <c r="K105" s="7"/>
      <c r="L105" s="7"/>
      <c r="M105" s="7"/>
      <c r="N105" s="7"/>
      <c r="O105" s="7"/>
    </row>
    <row r="106" spans="1:15" ht="36.75" customHeight="1">
      <c r="A106" s="6" t="s">
        <v>75</v>
      </c>
      <c r="B106" s="7" t="s">
        <v>84</v>
      </c>
      <c r="C106" s="7"/>
      <c r="D106" s="9">
        <v>1</v>
      </c>
      <c r="E106" s="7"/>
      <c r="F106" s="10"/>
      <c r="G106" s="10"/>
      <c r="H106" s="7"/>
      <c r="I106" s="7"/>
      <c r="J106" s="7"/>
      <c r="K106" s="7"/>
      <c r="L106" s="7"/>
      <c r="M106" s="7"/>
      <c r="N106" s="7"/>
      <c r="O106" s="7"/>
    </row>
    <row r="107" spans="1:15" ht="36.75" customHeight="1">
      <c r="A107" s="6" t="s">
        <v>75</v>
      </c>
      <c r="B107" s="7" t="s">
        <v>85</v>
      </c>
      <c r="C107" s="7"/>
      <c r="D107" s="9"/>
      <c r="E107" s="7"/>
      <c r="F107" s="10"/>
      <c r="G107" s="10"/>
      <c r="H107" s="7"/>
      <c r="I107" s="7"/>
      <c r="J107" s="7"/>
      <c r="K107" s="7"/>
      <c r="L107" s="7"/>
      <c r="M107" s="7"/>
      <c r="N107" s="7"/>
      <c r="O107" s="7"/>
    </row>
    <row r="108" spans="1:15" ht="36.75" customHeight="1">
      <c r="A108" s="6" t="s">
        <v>75</v>
      </c>
      <c r="B108" s="7" t="s">
        <v>86</v>
      </c>
      <c r="C108" s="7"/>
      <c r="D108" s="9"/>
      <c r="E108" s="7"/>
      <c r="F108" s="10"/>
      <c r="G108" s="10"/>
      <c r="H108" s="7"/>
      <c r="I108" s="7"/>
      <c r="J108" s="7"/>
      <c r="K108" s="7"/>
      <c r="L108" s="7"/>
      <c r="M108" s="7"/>
      <c r="N108" s="7"/>
      <c r="O108" s="7"/>
    </row>
    <row r="109" spans="1:15" ht="36.75" customHeight="1">
      <c r="A109" s="6" t="s">
        <v>76</v>
      </c>
      <c r="B109" s="7" t="s">
        <v>87</v>
      </c>
      <c r="C109" s="7"/>
      <c r="D109" s="9"/>
      <c r="E109" s="7"/>
      <c r="F109" s="10"/>
      <c r="G109" s="10"/>
      <c r="H109" s="7"/>
      <c r="I109" s="7"/>
      <c r="J109" s="7"/>
      <c r="K109" s="7"/>
      <c r="L109" s="7"/>
      <c r="M109" s="7"/>
      <c r="N109" s="7"/>
      <c r="O109" s="7"/>
    </row>
    <row r="110" spans="1:15" ht="36.75" customHeight="1">
      <c r="A110" s="6" t="s">
        <v>77</v>
      </c>
      <c r="B110" s="7" t="s">
        <v>88</v>
      </c>
      <c r="C110" s="7"/>
      <c r="D110" s="9"/>
      <c r="E110" s="7"/>
      <c r="F110" s="10"/>
      <c r="G110" s="10"/>
      <c r="H110" s="7"/>
      <c r="I110" s="7"/>
      <c r="J110" s="7"/>
      <c r="K110" s="7"/>
      <c r="L110" s="7"/>
      <c r="M110" s="7"/>
      <c r="N110" s="7"/>
      <c r="O110" s="7"/>
    </row>
    <row r="111" spans="1:15" ht="36.75" customHeight="1">
      <c r="A111" s="6" t="s">
        <v>78</v>
      </c>
      <c r="B111" s="7" t="s">
        <v>89</v>
      </c>
      <c r="C111" s="7"/>
      <c r="D111" s="9"/>
      <c r="E111" s="7"/>
      <c r="F111" s="10"/>
      <c r="G111" s="10"/>
      <c r="H111" s="7"/>
      <c r="I111" s="7"/>
      <c r="J111" s="7"/>
      <c r="K111" s="7"/>
      <c r="L111" s="7"/>
      <c r="M111" s="7"/>
      <c r="N111" s="7"/>
      <c r="O111" s="7"/>
    </row>
    <row r="112" spans="1:15" ht="36.75" customHeight="1">
      <c r="A112" s="6" t="s">
        <v>79</v>
      </c>
      <c r="B112" s="7" t="s">
        <v>90</v>
      </c>
      <c r="C112" s="7"/>
      <c r="D112" s="9"/>
      <c r="E112" s="7"/>
      <c r="F112" s="10"/>
      <c r="G112" s="10"/>
      <c r="H112" s="7"/>
      <c r="I112" s="7"/>
      <c r="J112" s="7"/>
      <c r="K112" s="7"/>
      <c r="L112" s="7"/>
      <c r="M112" s="7"/>
      <c r="N112" s="7"/>
      <c r="O112" s="7"/>
    </row>
    <row r="113" spans="1:15" ht="36.75" customHeight="1">
      <c r="A113" s="263" t="s">
        <v>120</v>
      </c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</row>
    <row r="114" spans="1:15" ht="36.75" customHeight="1">
      <c r="A114" s="6" t="s">
        <v>5</v>
      </c>
      <c r="B114" s="7" t="s">
        <v>96</v>
      </c>
      <c r="C114" s="7"/>
      <c r="D114" s="9"/>
      <c r="E114" s="7"/>
      <c r="F114" s="10"/>
      <c r="G114" s="10"/>
      <c r="H114" s="7"/>
      <c r="I114" s="7"/>
      <c r="J114" s="7"/>
      <c r="K114" s="7"/>
      <c r="L114" s="7"/>
      <c r="M114" s="7"/>
      <c r="N114" s="7"/>
      <c r="O114" s="7"/>
    </row>
    <row r="115" spans="1:15" ht="36.75" customHeight="1">
      <c r="A115" s="6" t="s">
        <v>91</v>
      </c>
      <c r="B115" s="7" t="s">
        <v>97</v>
      </c>
      <c r="C115" s="7"/>
      <c r="D115" s="9"/>
      <c r="E115" s="7"/>
      <c r="F115" s="10"/>
      <c r="G115" s="10"/>
      <c r="H115" s="7"/>
      <c r="I115" s="7"/>
      <c r="J115" s="7"/>
      <c r="K115" s="7"/>
      <c r="L115" s="7"/>
      <c r="M115" s="7"/>
      <c r="N115" s="7"/>
      <c r="O115" s="7"/>
    </row>
    <row r="116" spans="1:15" ht="36.75" customHeight="1">
      <c r="A116" s="6" t="s">
        <v>92</v>
      </c>
      <c r="B116" s="7" t="s">
        <v>98</v>
      </c>
      <c r="C116" s="7"/>
      <c r="D116" s="9"/>
      <c r="E116" s="7"/>
      <c r="F116" s="10"/>
      <c r="G116" s="10"/>
      <c r="H116" s="7"/>
      <c r="I116" s="7"/>
      <c r="J116" s="7"/>
      <c r="K116" s="7"/>
      <c r="L116" s="7"/>
      <c r="M116" s="7"/>
      <c r="N116" s="7"/>
      <c r="O116" s="7"/>
    </row>
    <row r="117" spans="1:15" ht="36.75" customHeight="1">
      <c r="A117" s="6" t="s">
        <v>93</v>
      </c>
      <c r="B117" s="7" t="s">
        <v>99</v>
      </c>
      <c r="C117" s="7"/>
      <c r="D117" s="9"/>
      <c r="E117" s="7"/>
      <c r="F117" s="10"/>
      <c r="G117" s="10"/>
      <c r="H117" s="7"/>
      <c r="I117" s="7"/>
      <c r="J117" s="7"/>
      <c r="K117" s="7"/>
      <c r="L117" s="7"/>
      <c r="M117" s="7"/>
      <c r="N117" s="7"/>
      <c r="O117" s="7"/>
    </row>
    <row r="118" spans="1:15" ht="36.75" customHeight="1">
      <c r="A118" s="6" t="s">
        <v>94</v>
      </c>
      <c r="B118" s="7" t="s">
        <v>100</v>
      </c>
      <c r="C118" s="7"/>
      <c r="D118" s="9"/>
      <c r="E118" s="7"/>
      <c r="F118" s="10"/>
      <c r="G118" s="10"/>
      <c r="H118" s="7"/>
      <c r="I118" s="7"/>
      <c r="J118" s="7"/>
      <c r="K118" s="7"/>
      <c r="L118" s="7"/>
      <c r="M118" s="7"/>
      <c r="N118" s="7"/>
      <c r="O118" s="7"/>
    </row>
    <row r="119" spans="1:15" ht="36.75" customHeight="1">
      <c r="A119" s="6" t="s">
        <v>27</v>
      </c>
      <c r="B119" s="7" t="s">
        <v>101</v>
      </c>
      <c r="C119" s="7"/>
      <c r="D119" s="9"/>
      <c r="E119" s="7"/>
      <c r="F119" s="10"/>
      <c r="G119" s="10"/>
      <c r="H119" s="7"/>
      <c r="I119" s="7"/>
      <c r="J119" s="7"/>
      <c r="K119" s="7"/>
      <c r="L119" s="7"/>
      <c r="M119" s="7"/>
      <c r="N119" s="7"/>
      <c r="O119" s="7"/>
    </row>
    <row r="120" spans="1:15" ht="36.75" customHeight="1">
      <c r="A120" s="6" t="s">
        <v>95</v>
      </c>
      <c r="B120" s="7" t="s">
        <v>102</v>
      </c>
      <c r="C120" s="7"/>
      <c r="D120" s="9"/>
      <c r="E120" s="7"/>
      <c r="F120" s="10"/>
      <c r="G120" s="10"/>
      <c r="H120" s="7"/>
      <c r="I120" s="7"/>
      <c r="J120" s="7"/>
      <c r="K120" s="7"/>
      <c r="L120" s="7"/>
      <c r="M120" s="7"/>
      <c r="N120" s="7"/>
      <c r="O120" s="7"/>
    </row>
    <row r="121" spans="1:15" ht="36.75" customHeight="1">
      <c r="A121" s="6" t="s">
        <v>109</v>
      </c>
      <c r="B121" s="7" t="s">
        <v>103</v>
      </c>
      <c r="C121" s="7"/>
      <c r="D121" s="9"/>
      <c r="E121" s="7"/>
      <c r="F121" s="10"/>
      <c r="G121" s="10"/>
      <c r="H121" s="7"/>
      <c r="I121" s="7"/>
      <c r="J121" s="7"/>
      <c r="K121" s="7"/>
      <c r="L121" s="7"/>
      <c r="M121" s="7"/>
      <c r="N121" s="7"/>
      <c r="O121" s="7"/>
    </row>
    <row r="122" spans="1:15" ht="36.75" customHeight="1">
      <c r="A122" s="6" t="s">
        <v>112</v>
      </c>
      <c r="B122" s="7" t="s">
        <v>104</v>
      </c>
      <c r="C122" s="7"/>
      <c r="D122" s="9"/>
      <c r="E122" s="7"/>
      <c r="F122" s="10"/>
      <c r="G122" s="10"/>
      <c r="H122" s="7"/>
      <c r="I122" s="7"/>
      <c r="J122" s="7"/>
      <c r="K122" s="7"/>
      <c r="L122" s="7"/>
      <c r="M122" s="7"/>
      <c r="N122" s="7"/>
      <c r="O122" s="7"/>
    </row>
    <row r="123" spans="1:15" ht="36.75" customHeight="1">
      <c r="A123" s="8" t="s">
        <v>113</v>
      </c>
      <c r="B123" s="8"/>
      <c r="C123" s="8"/>
      <c r="D123" s="8"/>
      <c r="E123" s="8"/>
      <c r="F123" s="8"/>
      <c r="G123" s="8"/>
      <c r="H123" s="7"/>
      <c r="I123" s="7"/>
      <c r="J123" s="7"/>
      <c r="K123" s="12"/>
      <c r="L123" s="12"/>
      <c r="M123" s="12"/>
      <c r="N123" s="12"/>
      <c r="O123" s="12"/>
    </row>
    <row r="124" spans="1:15" ht="36.75" customHeight="1">
      <c r="A124" s="263" t="s">
        <v>209</v>
      </c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</row>
    <row r="125" spans="1:15" ht="36.75" customHeight="1">
      <c r="A125" s="6" t="s">
        <v>204</v>
      </c>
      <c r="B125" s="7" t="s">
        <v>205</v>
      </c>
      <c r="C125" s="7"/>
      <c r="D125" s="9">
        <v>21</v>
      </c>
      <c r="E125" s="7"/>
      <c r="F125" s="10"/>
      <c r="G125" s="10"/>
      <c r="H125" s="7"/>
      <c r="I125" s="7"/>
      <c r="J125" s="7"/>
      <c r="K125" s="7"/>
      <c r="L125" s="7"/>
      <c r="M125" s="7"/>
      <c r="N125" s="7"/>
      <c r="O125" s="7"/>
    </row>
    <row r="126" spans="1:15" ht="36.75" customHeight="1">
      <c r="A126" s="6" t="s">
        <v>215</v>
      </c>
      <c r="B126" s="7"/>
      <c r="C126" s="7"/>
      <c r="D126" s="9">
        <v>10</v>
      </c>
      <c r="E126" s="7"/>
      <c r="F126" s="10"/>
      <c r="G126" s="10"/>
      <c r="H126" s="7"/>
      <c r="I126" s="7"/>
      <c r="J126" s="7"/>
      <c r="K126" s="7"/>
      <c r="L126" s="7"/>
      <c r="M126" s="7"/>
      <c r="N126" s="7"/>
      <c r="O126" s="7"/>
    </row>
    <row r="127" spans="1:15" ht="36.75" customHeight="1">
      <c r="A127" s="6" t="s">
        <v>208</v>
      </c>
      <c r="B127" s="7" t="s">
        <v>206</v>
      </c>
      <c r="C127" s="7"/>
      <c r="D127" s="9">
        <v>4</v>
      </c>
      <c r="E127" s="7"/>
      <c r="F127" s="10"/>
      <c r="G127" s="10"/>
      <c r="H127" s="7"/>
      <c r="I127" s="7"/>
      <c r="J127" s="7"/>
      <c r="K127" s="7"/>
      <c r="L127" s="7"/>
      <c r="M127" s="7"/>
      <c r="N127" s="7"/>
      <c r="O127" s="7"/>
    </row>
    <row r="128" spans="1:15" ht="36.75" customHeight="1">
      <c r="A128" s="6" t="s">
        <v>207</v>
      </c>
      <c r="B128" s="7" t="s">
        <v>206</v>
      </c>
      <c r="C128" s="7"/>
      <c r="D128" s="9">
        <v>4</v>
      </c>
      <c r="E128" s="7"/>
      <c r="F128" s="10"/>
      <c r="G128" s="10"/>
      <c r="H128" s="7"/>
      <c r="I128" s="7"/>
      <c r="J128" s="7"/>
      <c r="K128" s="7"/>
      <c r="L128" s="7"/>
      <c r="M128" s="7"/>
      <c r="N128" s="7"/>
      <c r="O128" s="7"/>
    </row>
    <row r="129" spans="1:15" ht="36.75" customHeight="1">
      <c r="A129" s="263" t="s">
        <v>210</v>
      </c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</row>
    <row r="130" spans="1:15" ht="36.75" customHeight="1">
      <c r="A130" s="6" t="s">
        <v>211</v>
      </c>
      <c r="B130" s="7"/>
      <c r="C130" s="7"/>
      <c r="D130" s="9">
        <v>6</v>
      </c>
      <c r="E130" s="7"/>
      <c r="F130" s="10"/>
      <c r="G130" s="10"/>
      <c r="H130" s="7"/>
      <c r="I130" s="7"/>
      <c r="J130" s="7"/>
      <c r="K130" s="7">
        <v>1</v>
      </c>
      <c r="L130" s="7">
        <v>1</v>
      </c>
      <c r="M130" s="7"/>
      <c r="N130" s="7"/>
      <c r="O130" s="7"/>
    </row>
    <row r="131" spans="1:15" ht="36.75" customHeight="1">
      <c r="A131" s="6" t="s">
        <v>212</v>
      </c>
      <c r="B131" s="7"/>
      <c r="C131" s="7"/>
      <c r="D131" s="9">
        <v>17</v>
      </c>
      <c r="E131" s="7"/>
      <c r="F131" s="10"/>
      <c r="G131" s="10"/>
      <c r="H131" s="7"/>
      <c r="I131" s="7"/>
      <c r="J131" s="7"/>
      <c r="K131" s="7"/>
      <c r="L131" s="7"/>
      <c r="M131" s="7"/>
      <c r="N131" s="7"/>
      <c r="O131" s="7"/>
    </row>
    <row r="132" spans="1:15" ht="36.75" customHeight="1">
      <c r="A132" s="6" t="s">
        <v>213</v>
      </c>
      <c r="B132" s="7"/>
      <c r="C132" s="7"/>
      <c r="D132" s="9">
        <v>1</v>
      </c>
      <c r="E132" s="7"/>
      <c r="F132" s="10"/>
      <c r="G132" s="10"/>
      <c r="H132" s="7"/>
      <c r="I132" s="7"/>
      <c r="J132" s="7"/>
      <c r="K132" s="7"/>
      <c r="L132" s="7">
        <v>1</v>
      </c>
      <c r="M132" s="7"/>
      <c r="N132" s="7"/>
      <c r="O132" s="7"/>
    </row>
    <row r="133" spans="1:15" ht="36.75" customHeight="1">
      <c r="A133" s="6" t="s">
        <v>214</v>
      </c>
      <c r="B133" s="7"/>
      <c r="C133" s="7"/>
      <c r="D133" s="9">
        <v>1</v>
      </c>
      <c r="E133" s="7"/>
      <c r="F133" s="10"/>
      <c r="G133" s="10"/>
      <c r="H133" s="7"/>
      <c r="I133" s="7"/>
      <c r="J133" s="7"/>
      <c r="K133" s="7"/>
      <c r="L133" s="7"/>
      <c r="M133" s="7"/>
      <c r="N133" s="7"/>
      <c r="O133" s="7"/>
    </row>
    <row r="134" spans="1:15" ht="36.75" customHeight="1">
      <c r="A134" s="264" t="s">
        <v>114</v>
      </c>
      <c r="B134" s="265"/>
      <c r="C134" s="265"/>
      <c r="D134" s="265"/>
      <c r="E134" s="265"/>
      <c r="F134" s="265"/>
      <c r="G134" s="266"/>
      <c r="H134" s="7"/>
      <c r="I134" s="7"/>
      <c r="J134" s="7"/>
      <c r="K134" s="13"/>
      <c r="L134" s="13"/>
      <c r="M134" s="13"/>
      <c r="N134" s="13"/>
      <c r="O134" s="13"/>
    </row>
    <row r="135" spans="1:15" ht="27.75" customHeight="1">
      <c r="A135" s="267" t="s">
        <v>115</v>
      </c>
      <c r="B135" s="268"/>
      <c r="C135" s="21"/>
      <c r="D135" s="14"/>
      <c r="E135" s="14"/>
      <c r="F135" s="14"/>
      <c r="G135" s="15"/>
      <c r="H135" s="16"/>
      <c r="I135" s="17"/>
      <c r="J135" s="15"/>
    </row>
    <row r="136" spans="1:15" ht="23.25" customHeight="1">
      <c r="A136" s="18"/>
      <c r="B136" s="18"/>
      <c r="C136" s="18"/>
      <c r="D136" s="18"/>
      <c r="E136" s="18"/>
      <c r="F136" s="269" t="s">
        <v>201</v>
      </c>
      <c r="G136" s="269"/>
      <c r="H136" s="269"/>
      <c r="I136" s="269"/>
      <c r="J136" s="269"/>
      <c r="K136" s="269"/>
      <c r="L136" s="269"/>
      <c r="M136" s="269"/>
      <c r="N136" s="269"/>
      <c r="O136" s="269"/>
    </row>
    <row r="137" spans="1:15" ht="33.75" customHeight="1">
      <c r="A137" s="270" t="s">
        <v>200</v>
      </c>
      <c r="B137" s="262"/>
      <c r="C137" s="262"/>
      <c r="D137" s="262"/>
      <c r="E137" s="19"/>
      <c r="F137" s="271" t="s">
        <v>199</v>
      </c>
      <c r="G137" s="272"/>
      <c r="H137" s="272"/>
      <c r="I137" s="272"/>
      <c r="J137" s="272"/>
      <c r="K137" s="272"/>
      <c r="L137" s="272"/>
      <c r="M137" s="272"/>
      <c r="N137" s="272"/>
      <c r="O137" s="272"/>
    </row>
    <row r="138" spans="1:15" ht="22.5" customHeight="1">
      <c r="A138" s="261"/>
      <c r="B138" s="262"/>
      <c r="C138" s="262"/>
      <c r="D138" s="262"/>
      <c r="E138" s="19"/>
      <c r="F138" s="18"/>
      <c r="G138" s="18"/>
      <c r="H138" s="18"/>
      <c r="I138" s="18"/>
      <c r="J138" s="18"/>
    </row>
    <row r="139" spans="1:15" ht="36.75" customHeight="1">
      <c r="A139" s="2"/>
      <c r="D139" s="2"/>
    </row>
    <row r="140" spans="1:15" ht="36.75" customHeight="1">
      <c r="A140" s="2"/>
      <c r="D140" s="2"/>
    </row>
    <row r="141" spans="1:15" ht="36.75" customHeight="1">
      <c r="A141" s="2"/>
      <c r="D141" s="2"/>
    </row>
    <row r="142" spans="1:15" ht="36.75" customHeight="1">
      <c r="A142" s="2"/>
      <c r="D142" s="2"/>
    </row>
    <row r="143" spans="1:15" ht="36.75" customHeight="1">
      <c r="A143" s="2"/>
      <c r="D143" s="2"/>
    </row>
    <row r="144" spans="1:15" ht="36.75" customHeight="1">
      <c r="A144" s="2"/>
      <c r="D144" s="2"/>
    </row>
    <row r="145" s="2" customFormat="1" ht="36.75" customHeight="1"/>
    <row r="146" s="2" customFormat="1" ht="36.75" customHeight="1"/>
    <row r="147" s="2" customFormat="1" ht="36.75" customHeight="1"/>
    <row r="148" s="2" customFormat="1" ht="36.75" customHeight="1"/>
    <row r="149" s="2" customFormat="1" ht="36.75" customHeight="1"/>
    <row r="150" s="2" customFormat="1" ht="36.75" customHeight="1"/>
    <row r="151" s="2" customFormat="1" ht="36.75" customHeight="1"/>
    <row r="152" s="2" customFormat="1" ht="36.75" customHeight="1"/>
    <row r="153" s="2" customFormat="1" ht="36.75" customHeight="1"/>
    <row r="154" s="2" customFormat="1" ht="36.75" customHeight="1"/>
    <row r="155" s="2" customFormat="1" ht="36.75" customHeight="1"/>
    <row r="156" s="2" customFormat="1" ht="36.75" customHeight="1"/>
    <row r="157" s="2" customFormat="1" ht="36.75" customHeight="1"/>
    <row r="158" s="2" customFormat="1" ht="36.75" customHeight="1"/>
    <row r="159" s="2" customFormat="1" ht="36.75" customHeight="1"/>
    <row r="160" s="2" customFormat="1" ht="36.75" customHeight="1"/>
    <row r="161" s="2" customFormat="1" ht="36.75" customHeight="1"/>
    <row r="162" s="2" customFormat="1" ht="36.75" customHeight="1"/>
    <row r="163" s="2" customFormat="1" ht="36.75" customHeight="1"/>
    <row r="164" s="2" customFormat="1" ht="36.75" customHeight="1"/>
    <row r="165" s="2" customFormat="1" ht="36.75" customHeight="1"/>
    <row r="166" s="2" customFormat="1" ht="36.75" customHeight="1"/>
    <row r="167" s="2" customFormat="1" ht="36.75" customHeight="1"/>
    <row r="168" s="2" customFormat="1" ht="36.75" customHeight="1"/>
    <row r="169" s="2" customFormat="1" ht="36.75" customHeight="1"/>
    <row r="170" s="2" customFormat="1" ht="36.75" customHeight="1"/>
    <row r="171" s="2" customFormat="1" ht="36.75" customHeight="1"/>
    <row r="172" s="2" customFormat="1" ht="36.75" customHeight="1"/>
    <row r="173" s="2" customFormat="1" ht="36.75" customHeight="1"/>
    <row r="174" s="2" customFormat="1" ht="36.75" customHeight="1"/>
    <row r="175" s="2" customFormat="1" ht="36.75" customHeight="1"/>
    <row r="176" s="2" customFormat="1" ht="36.75" customHeight="1"/>
    <row r="177" s="2" customFormat="1" ht="36.75" customHeight="1"/>
    <row r="178" s="2" customFormat="1" ht="36.75" customHeight="1"/>
    <row r="179" s="2" customFormat="1" ht="36.75" customHeight="1"/>
    <row r="180" s="2" customFormat="1" ht="36.75" customHeight="1"/>
    <row r="181" s="2" customFormat="1" ht="36.75" customHeight="1"/>
    <row r="182" s="2" customFormat="1" ht="36.75" customHeight="1"/>
    <row r="183" s="2" customFormat="1" ht="36.75" customHeight="1"/>
    <row r="184" s="2" customFormat="1" ht="36.75" customHeight="1"/>
    <row r="185" s="2" customFormat="1" ht="36.75" customHeight="1"/>
    <row r="186" s="2" customFormat="1" ht="36.75" customHeight="1"/>
    <row r="187" s="2" customFormat="1" ht="36.75" customHeight="1"/>
    <row r="188" s="2" customFormat="1" ht="36.75" customHeight="1"/>
    <row r="189" s="2" customFormat="1" ht="36.75" customHeight="1"/>
    <row r="190" s="2" customFormat="1" ht="36.75" customHeight="1"/>
    <row r="191" s="2" customFormat="1" ht="36.75" customHeight="1"/>
    <row r="192" s="2" customFormat="1" ht="36.75" customHeight="1"/>
    <row r="193" s="2" customFormat="1" ht="36.75" customHeight="1"/>
    <row r="194" s="2" customFormat="1" ht="36.75" customHeight="1"/>
    <row r="195" s="2" customFormat="1" ht="36.75" customHeight="1"/>
    <row r="196" s="2" customFormat="1" ht="36.75" customHeight="1"/>
    <row r="197" s="2" customFormat="1" ht="36.75" customHeight="1"/>
    <row r="198" s="2" customFormat="1" ht="36.75" customHeight="1"/>
    <row r="199" s="2" customFormat="1" ht="36.75" customHeight="1"/>
    <row r="200" s="2" customFormat="1" ht="36.75" customHeight="1"/>
    <row r="201" s="2" customFormat="1" ht="36.75" customHeigh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</sheetData>
  <mergeCells count="19">
    <mergeCell ref="A124:O124"/>
    <mergeCell ref="A1:O1"/>
    <mergeCell ref="B2:F2"/>
    <mergeCell ref="G2:O2"/>
    <mergeCell ref="A4:O4"/>
    <mergeCell ref="A31:O31"/>
    <mergeCell ref="A36:O36"/>
    <mergeCell ref="A50:O50"/>
    <mergeCell ref="A62:O62"/>
    <mergeCell ref="A77:O77"/>
    <mergeCell ref="A88:O88"/>
    <mergeCell ref="A113:O113"/>
    <mergeCell ref="A138:D138"/>
    <mergeCell ref="A129:O129"/>
    <mergeCell ref="A134:G134"/>
    <mergeCell ref="A135:B135"/>
    <mergeCell ref="F136:O136"/>
    <mergeCell ref="A137:D137"/>
    <mergeCell ref="F137:O137"/>
  </mergeCells>
  <pageMargins left="0.51" right="0.16" top="0.28000000000000003" bottom="0.34" header="0.23" footer="0.3"/>
  <pageSetup scale="75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174"/>
  <sheetViews>
    <sheetView tabSelected="1" view="pageBreakPreview" zoomScale="60" zoomScaleNormal="69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N12" sqref="N12"/>
    </sheetView>
  </sheetViews>
  <sheetFormatPr defaultColWidth="9.140625" defaultRowHeight="16.5"/>
  <cols>
    <col min="1" max="1" width="6.85546875" style="235" customWidth="1"/>
    <col min="2" max="2" width="34.140625" style="241" customWidth="1"/>
    <col min="3" max="3" width="14" style="235" customWidth="1"/>
    <col min="4" max="4" width="19.7109375" style="235" customWidth="1"/>
    <col min="5" max="5" width="16.28515625" style="235" customWidth="1"/>
    <col min="6" max="6" width="13.140625" style="235" customWidth="1"/>
    <col min="7" max="7" width="17.85546875" style="236" customWidth="1"/>
    <col min="8" max="8" width="12.85546875" style="240" customWidth="1"/>
    <col min="9" max="9" width="15.42578125" style="235" customWidth="1"/>
    <col min="10" max="10" width="15.85546875" style="235" customWidth="1"/>
    <col min="11" max="11" width="17.42578125" style="196" customWidth="1"/>
    <col min="12" max="13" width="17.85546875" style="235" customWidth="1"/>
    <col min="14" max="15" width="21.5703125" style="235" customWidth="1"/>
    <col min="16" max="16384" width="9.140625" style="2"/>
  </cols>
  <sheetData>
    <row r="1" spans="1:15" ht="46.5" customHeight="1">
      <c r="A1" s="206"/>
      <c r="B1" s="207"/>
      <c r="C1" s="145"/>
      <c r="D1" s="145"/>
      <c r="E1" s="145"/>
      <c r="F1" s="145"/>
      <c r="G1" s="208"/>
      <c r="H1" s="209">
        <f>H128*1.05</f>
        <v>0</v>
      </c>
      <c r="I1" s="209">
        <f>I128</f>
        <v>398</v>
      </c>
      <c r="J1" s="209">
        <f>J128</f>
        <v>0</v>
      </c>
      <c r="K1" s="194">
        <f>K128</f>
        <v>940</v>
      </c>
      <c r="L1" s="210">
        <f>L128*1.05</f>
        <v>4777.0443000000014</v>
      </c>
      <c r="M1" s="210"/>
      <c r="N1" s="209"/>
      <c r="O1" s="206"/>
    </row>
    <row r="2" spans="1:15" ht="74.25" customHeight="1">
      <c r="A2" s="211" t="s">
        <v>244</v>
      </c>
      <c r="B2" s="212" t="s">
        <v>241</v>
      </c>
      <c r="C2" s="211" t="s">
        <v>242</v>
      </c>
      <c r="D2" s="211" t="s">
        <v>243</v>
      </c>
      <c r="E2" s="211" t="s">
        <v>303</v>
      </c>
      <c r="F2" s="211" t="s">
        <v>397</v>
      </c>
      <c r="G2" s="213" t="s">
        <v>455</v>
      </c>
      <c r="H2" s="211" t="s">
        <v>310</v>
      </c>
      <c r="I2" s="211" t="s">
        <v>311</v>
      </c>
      <c r="J2" s="211" t="s">
        <v>312</v>
      </c>
      <c r="K2" s="195" t="s">
        <v>478</v>
      </c>
      <c r="L2" s="211" t="s">
        <v>313</v>
      </c>
      <c r="M2" s="211" t="s">
        <v>477</v>
      </c>
      <c r="N2" s="211" t="s">
        <v>465</v>
      </c>
      <c r="O2" s="211" t="s">
        <v>322</v>
      </c>
    </row>
    <row r="3" spans="1:15" ht="33.75" customHeight="1">
      <c r="A3" s="214" t="s">
        <v>316</v>
      </c>
      <c r="B3" s="215"/>
      <c r="C3" s="214"/>
      <c r="D3" s="214"/>
      <c r="E3" s="214"/>
      <c r="F3" s="211"/>
      <c r="G3" s="213"/>
      <c r="H3" s="211"/>
      <c r="I3" s="216">
        <f>I122+I111+I96+I71+I62+I49+I46+I42+I38+I5</f>
        <v>398</v>
      </c>
      <c r="J3" s="216">
        <f>J5+J38+J42+J46+J49+J62+J71+J96+J111+J122</f>
        <v>230</v>
      </c>
      <c r="K3" s="195" t="s">
        <v>319</v>
      </c>
      <c r="L3" s="211" t="s">
        <v>320</v>
      </c>
      <c r="M3" s="211"/>
      <c r="N3" s="211"/>
      <c r="O3" s="211"/>
    </row>
    <row r="4" spans="1:15" ht="30.75" customHeight="1">
      <c r="A4" s="214" t="s">
        <v>315</v>
      </c>
      <c r="B4" s="215"/>
      <c r="C4" s="214"/>
      <c r="D4" s="214"/>
      <c r="E4" s="214"/>
      <c r="F4" s="214"/>
      <c r="G4" s="176"/>
      <c r="H4" s="214"/>
      <c r="I4" s="214"/>
      <c r="J4" s="214"/>
      <c r="K4" s="197"/>
      <c r="L4" s="214"/>
      <c r="M4" s="214"/>
      <c r="N4" s="214"/>
      <c r="O4" s="214"/>
    </row>
    <row r="5" spans="1:15" ht="44.25" customHeight="1">
      <c r="A5" s="201" t="s">
        <v>297</v>
      </c>
      <c r="B5" s="28" t="s">
        <v>121</v>
      </c>
      <c r="C5" s="28"/>
      <c r="D5" s="28"/>
      <c r="E5" s="201" t="s">
        <v>307</v>
      </c>
      <c r="F5" s="201"/>
      <c r="G5" s="217">
        <f t="shared" ref="G5:L5" si="0">SUM(G6:G37)</f>
        <v>354</v>
      </c>
      <c r="H5" s="217">
        <f t="shared" si="0"/>
        <v>1392.0059999999999</v>
      </c>
      <c r="I5" s="217">
        <f t="shared" si="0"/>
        <v>85</v>
      </c>
      <c r="J5" s="217">
        <f t="shared" si="0"/>
        <v>85</v>
      </c>
      <c r="K5" s="198">
        <f t="shared" si="0"/>
        <v>354</v>
      </c>
      <c r="L5" s="217">
        <f t="shared" si="0"/>
        <v>1380.6840000000002</v>
      </c>
      <c r="M5" s="217"/>
      <c r="N5" s="217">
        <f>SUM(N6:N37)</f>
        <v>0</v>
      </c>
      <c r="O5" s="217">
        <f>SUM(O6:O37)</f>
        <v>0</v>
      </c>
    </row>
    <row r="6" spans="1:15" ht="36" customHeight="1">
      <c r="A6" s="206">
        <v>1</v>
      </c>
      <c r="B6" s="218" t="s">
        <v>122</v>
      </c>
      <c r="C6" s="206" t="s">
        <v>123</v>
      </c>
      <c r="D6" s="206"/>
      <c r="E6" s="206" t="s">
        <v>307</v>
      </c>
      <c r="F6" s="219">
        <v>0.84199999999999997</v>
      </c>
      <c r="G6" s="176">
        <v>15</v>
      </c>
      <c r="H6" s="125">
        <f t="shared" ref="H6:H37" si="1">F6*G6*6</f>
        <v>75.78</v>
      </c>
      <c r="I6" s="125">
        <f>VLOOKUP(C6,'NHẬP KHO '!C:U,18,0)</f>
        <v>26</v>
      </c>
      <c r="J6" s="206">
        <f>VLOOKUP(C6,'XUẤT KHO'!C:Z,23,0)</f>
        <v>6</v>
      </c>
      <c r="K6" s="242">
        <f t="shared" ref="K6:K37" si="2">G6+I6-J6</f>
        <v>35</v>
      </c>
      <c r="L6" s="125">
        <f t="shared" ref="L6:L37" si="3">F6*K6*6</f>
        <v>176.82</v>
      </c>
      <c r="M6" s="125"/>
      <c r="N6" s="125"/>
      <c r="O6" s="125"/>
    </row>
    <row r="7" spans="1:15" s="46" customFormat="1" ht="36" customHeight="1">
      <c r="A7" s="125">
        <v>2</v>
      </c>
      <c r="B7" s="126" t="s">
        <v>124</v>
      </c>
      <c r="C7" s="125" t="s">
        <v>125</v>
      </c>
      <c r="D7" s="125"/>
      <c r="E7" s="125" t="s">
        <v>307</v>
      </c>
      <c r="F7" s="147">
        <v>0.88700000000000001</v>
      </c>
      <c r="G7" s="176">
        <v>8</v>
      </c>
      <c r="H7" s="125">
        <f t="shared" si="1"/>
        <v>42.576000000000001</v>
      </c>
      <c r="I7" s="125">
        <f>VLOOKUP(C7,'NHẬP KHO '!C:U,18,0)</f>
        <v>0</v>
      </c>
      <c r="J7" s="206">
        <f>VLOOKUP(C7,'XUẤT KHO'!C:Z,23,0)</f>
        <v>3</v>
      </c>
      <c r="K7" s="242">
        <f t="shared" si="2"/>
        <v>5</v>
      </c>
      <c r="L7" s="125">
        <f t="shared" si="3"/>
        <v>26.610000000000003</v>
      </c>
      <c r="M7" s="125"/>
      <c r="N7" s="125"/>
      <c r="O7" s="125"/>
    </row>
    <row r="8" spans="1:15" ht="36" customHeight="1">
      <c r="A8" s="206">
        <v>3</v>
      </c>
      <c r="B8" s="218" t="s">
        <v>126</v>
      </c>
      <c r="C8" s="206" t="s">
        <v>127</v>
      </c>
      <c r="D8" s="206"/>
      <c r="E8" s="206" t="s">
        <v>307</v>
      </c>
      <c r="F8" s="219">
        <v>0.79800000000000004</v>
      </c>
      <c r="G8" s="176"/>
      <c r="H8" s="125">
        <f t="shared" si="1"/>
        <v>0</v>
      </c>
      <c r="I8" s="125">
        <f>VLOOKUP(C8,'NHẬP KHO '!C:U,18,0)</f>
        <v>0</v>
      </c>
      <c r="J8" s="206">
        <f>VLOOKUP(C8,'XUẤT KHO'!C:Z,23,0)</f>
        <v>0</v>
      </c>
      <c r="K8" s="242">
        <f t="shared" si="2"/>
        <v>0</v>
      </c>
      <c r="L8" s="125">
        <f t="shared" si="3"/>
        <v>0</v>
      </c>
      <c r="M8" s="125"/>
      <c r="N8" s="125"/>
      <c r="O8" s="125"/>
    </row>
    <row r="9" spans="1:15" ht="36" customHeight="1">
      <c r="A9" s="125">
        <v>4</v>
      </c>
      <c r="B9" s="126" t="s">
        <v>128</v>
      </c>
      <c r="C9" s="125" t="s">
        <v>276</v>
      </c>
      <c r="D9" s="125"/>
      <c r="E9" s="125" t="s">
        <v>307</v>
      </c>
      <c r="F9" s="147">
        <v>1.127</v>
      </c>
      <c r="G9" s="176">
        <v>1</v>
      </c>
      <c r="H9" s="125">
        <f t="shared" si="1"/>
        <v>6.7620000000000005</v>
      </c>
      <c r="I9" s="125">
        <f>VLOOKUP(C9,'NHẬP KHO '!C:U,18,0)</f>
        <v>0</v>
      </c>
      <c r="J9" s="206">
        <f>VLOOKUP(C9,'XUẤT KHO'!C:Z,23,0)</f>
        <v>0</v>
      </c>
      <c r="K9" s="242">
        <f t="shared" si="2"/>
        <v>1</v>
      </c>
      <c r="L9" s="125">
        <f t="shared" si="3"/>
        <v>6.7620000000000005</v>
      </c>
      <c r="M9" s="125"/>
      <c r="N9" s="125"/>
      <c r="O9" s="125"/>
    </row>
    <row r="10" spans="1:15" s="46" customFormat="1" ht="36" customHeight="1">
      <c r="A10" s="206">
        <v>5</v>
      </c>
      <c r="B10" s="126" t="s">
        <v>194</v>
      </c>
      <c r="C10" s="125" t="s">
        <v>130</v>
      </c>
      <c r="D10" s="125"/>
      <c r="E10" s="125" t="s">
        <v>307</v>
      </c>
      <c r="F10" s="147">
        <v>1.056</v>
      </c>
      <c r="G10" s="176">
        <v>11</v>
      </c>
      <c r="H10" s="125">
        <f t="shared" si="1"/>
        <v>69.695999999999998</v>
      </c>
      <c r="I10" s="125">
        <f>VLOOKUP(C10,'NHẬP KHO '!C:U,18,0)</f>
        <v>0</v>
      </c>
      <c r="J10" s="206">
        <f>VLOOKUP(C10,'XUẤT KHO'!C:Z,23,0)</f>
        <v>0</v>
      </c>
      <c r="K10" s="242">
        <f t="shared" si="2"/>
        <v>11</v>
      </c>
      <c r="L10" s="125">
        <f t="shared" si="3"/>
        <v>69.695999999999998</v>
      </c>
      <c r="M10" s="125"/>
      <c r="N10" s="125"/>
      <c r="O10" s="125"/>
    </row>
    <row r="11" spans="1:15" ht="36" customHeight="1">
      <c r="A11" s="125">
        <v>6</v>
      </c>
      <c r="B11" s="218" t="s">
        <v>131</v>
      </c>
      <c r="C11" s="206" t="s">
        <v>132</v>
      </c>
      <c r="D11" s="206"/>
      <c r="E11" s="206" t="s">
        <v>307</v>
      </c>
      <c r="F11" s="219">
        <v>1.0009999999999999</v>
      </c>
      <c r="G11" s="176">
        <v>9</v>
      </c>
      <c r="H11" s="125">
        <f t="shared" si="1"/>
        <v>54.053999999999988</v>
      </c>
      <c r="I11" s="125">
        <f>VLOOKUP(C11,'NHẬP KHO '!C:U,18,0)</f>
        <v>0</v>
      </c>
      <c r="J11" s="206">
        <f>VLOOKUP(C11,'XUẤT KHO'!C:Z,23,0)</f>
        <v>1</v>
      </c>
      <c r="K11" s="242">
        <f t="shared" si="2"/>
        <v>8</v>
      </c>
      <c r="L11" s="125">
        <f t="shared" si="3"/>
        <v>48.047999999999995</v>
      </c>
      <c r="M11" s="125"/>
      <c r="N11" s="125"/>
      <c r="O11" s="125"/>
    </row>
    <row r="12" spans="1:15" ht="36" customHeight="1">
      <c r="A12" s="206">
        <v>7</v>
      </c>
      <c r="B12" s="218" t="s">
        <v>3</v>
      </c>
      <c r="C12" s="206" t="s">
        <v>136</v>
      </c>
      <c r="D12" s="206"/>
      <c r="E12" s="206" t="s">
        <v>307</v>
      </c>
      <c r="F12" s="219">
        <v>1.286</v>
      </c>
      <c r="G12" s="176">
        <v>18</v>
      </c>
      <c r="H12" s="125">
        <f t="shared" si="1"/>
        <v>138.88800000000001</v>
      </c>
      <c r="I12" s="125">
        <f>VLOOKUP(C12,'NHẬP KHO '!C:U,18,0)</f>
        <v>0</v>
      </c>
      <c r="J12" s="206">
        <f>VLOOKUP(C12,'XUẤT KHO'!C:Z,23,0)</f>
        <v>4</v>
      </c>
      <c r="K12" s="242">
        <f t="shared" si="2"/>
        <v>14</v>
      </c>
      <c r="L12" s="125">
        <f t="shared" si="3"/>
        <v>108.024</v>
      </c>
      <c r="M12" s="125"/>
      <c r="N12" s="125"/>
      <c r="O12" s="125"/>
    </row>
    <row r="13" spans="1:15" ht="36" customHeight="1">
      <c r="A13" s="125">
        <v>8</v>
      </c>
      <c r="B13" s="218" t="s">
        <v>192</v>
      </c>
      <c r="C13" s="206" t="s">
        <v>273</v>
      </c>
      <c r="D13" s="206"/>
      <c r="E13" s="206" t="s">
        <v>307</v>
      </c>
      <c r="F13" s="219">
        <v>1.496</v>
      </c>
      <c r="G13" s="176"/>
      <c r="H13" s="125">
        <f t="shared" si="1"/>
        <v>0</v>
      </c>
      <c r="I13" s="125">
        <f>VLOOKUP(C13,'NHẬP KHO '!C:U,18,0)</f>
        <v>0</v>
      </c>
      <c r="J13" s="206">
        <f>VLOOKUP(C13,'XUẤT KHO'!C:Z,23,0)</f>
        <v>0</v>
      </c>
      <c r="K13" s="242">
        <f t="shared" si="2"/>
        <v>0</v>
      </c>
      <c r="L13" s="125">
        <f t="shared" si="3"/>
        <v>0</v>
      </c>
      <c r="M13" s="125"/>
      <c r="N13" s="125"/>
      <c r="O13" s="125"/>
    </row>
    <row r="14" spans="1:15" ht="36" customHeight="1">
      <c r="A14" s="206">
        <v>9</v>
      </c>
      <c r="B14" s="218" t="s">
        <v>191</v>
      </c>
      <c r="C14" s="206" t="s">
        <v>274</v>
      </c>
      <c r="D14" s="206"/>
      <c r="E14" s="206" t="s">
        <v>307</v>
      </c>
      <c r="F14" s="219">
        <v>1.496</v>
      </c>
      <c r="G14" s="176">
        <v>12</v>
      </c>
      <c r="H14" s="125">
        <f t="shared" si="1"/>
        <v>107.71199999999999</v>
      </c>
      <c r="I14" s="125">
        <f>VLOOKUP(C14,'NHẬP KHO '!C:U,18,0)</f>
        <v>0</v>
      </c>
      <c r="J14" s="206">
        <f>VLOOKUP(C14,'XUẤT KHO'!C:Z,23,0)</f>
        <v>0</v>
      </c>
      <c r="K14" s="242">
        <f t="shared" si="2"/>
        <v>12</v>
      </c>
      <c r="L14" s="125">
        <f t="shared" si="3"/>
        <v>107.71199999999999</v>
      </c>
      <c r="M14" s="125"/>
      <c r="N14" s="125"/>
      <c r="O14" s="125"/>
    </row>
    <row r="15" spans="1:15" ht="36" customHeight="1">
      <c r="A15" s="125">
        <v>10</v>
      </c>
      <c r="B15" s="218" t="s">
        <v>193</v>
      </c>
      <c r="C15" s="206" t="s">
        <v>275</v>
      </c>
      <c r="D15" s="206"/>
      <c r="E15" s="206" t="s">
        <v>307</v>
      </c>
      <c r="F15" s="219">
        <v>2.1070000000000002</v>
      </c>
      <c r="G15" s="176"/>
      <c r="H15" s="125">
        <f t="shared" si="1"/>
        <v>0</v>
      </c>
      <c r="I15" s="125">
        <f>VLOOKUP(C15,'NHẬP KHO '!C:U,18,0)</f>
        <v>0</v>
      </c>
      <c r="J15" s="206">
        <f>VLOOKUP(C15,'XUẤT KHO'!C:Z,23,0)</f>
        <v>0</v>
      </c>
      <c r="K15" s="242">
        <f t="shared" si="2"/>
        <v>0</v>
      </c>
      <c r="L15" s="125">
        <f t="shared" si="3"/>
        <v>0</v>
      </c>
      <c r="M15" s="125"/>
      <c r="N15" s="125"/>
      <c r="O15" s="125"/>
    </row>
    <row r="16" spans="1:15" ht="36" customHeight="1">
      <c r="A16" s="206">
        <v>11</v>
      </c>
      <c r="B16" s="218" t="s">
        <v>433</v>
      </c>
      <c r="C16" s="206" t="s">
        <v>141</v>
      </c>
      <c r="D16" s="206"/>
      <c r="E16" s="206" t="s">
        <v>307</v>
      </c>
      <c r="F16" s="219">
        <v>0.82799999999999996</v>
      </c>
      <c r="G16" s="176">
        <v>24</v>
      </c>
      <c r="H16" s="125">
        <f t="shared" si="1"/>
        <v>119.232</v>
      </c>
      <c r="I16" s="125">
        <f>VLOOKUP(C16,'NHẬP KHO '!C:U,18,0)</f>
        <v>0</v>
      </c>
      <c r="J16" s="206">
        <f>VLOOKUP(C16,'XUẤT KHO'!C:Z,23,0)</f>
        <v>1</v>
      </c>
      <c r="K16" s="242">
        <f t="shared" si="2"/>
        <v>23</v>
      </c>
      <c r="L16" s="125">
        <f t="shared" si="3"/>
        <v>114.26400000000001</v>
      </c>
      <c r="M16" s="125"/>
      <c r="N16" s="125"/>
      <c r="O16" s="125"/>
    </row>
    <row r="17" spans="1:15" ht="36" customHeight="1">
      <c r="A17" s="125">
        <v>12</v>
      </c>
      <c r="B17" s="218" t="s">
        <v>142</v>
      </c>
      <c r="C17" s="206" t="s">
        <v>143</v>
      </c>
      <c r="D17" s="206"/>
      <c r="E17" s="206" t="s">
        <v>307</v>
      </c>
      <c r="F17" s="219">
        <v>0.44800000000000001</v>
      </c>
      <c r="G17" s="176"/>
      <c r="H17" s="125">
        <f t="shared" si="1"/>
        <v>0</v>
      </c>
      <c r="I17" s="125">
        <f>VLOOKUP(C17,'NHẬP KHO '!C:U,18,0)</f>
        <v>0</v>
      </c>
      <c r="J17" s="206">
        <f>VLOOKUP(C17,'XUẤT KHO'!C:Z,23,0)</f>
        <v>0</v>
      </c>
      <c r="K17" s="242">
        <f t="shared" si="2"/>
        <v>0</v>
      </c>
      <c r="L17" s="125">
        <f t="shared" si="3"/>
        <v>0</v>
      </c>
      <c r="M17" s="125"/>
      <c r="N17" s="125"/>
      <c r="O17" s="125"/>
    </row>
    <row r="18" spans="1:15" ht="36" customHeight="1">
      <c r="A18" s="206">
        <v>13</v>
      </c>
      <c r="B18" s="218" t="s">
        <v>144</v>
      </c>
      <c r="C18" s="206" t="s">
        <v>145</v>
      </c>
      <c r="D18" s="206"/>
      <c r="E18" s="206" t="s">
        <v>307</v>
      </c>
      <c r="F18" s="219">
        <v>0.23799999999999999</v>
      </c>
      <c r="G18" s="176">
        <v>11</v>
      </c>
      <c r="H18" s="125">
        <f t="shared" si="1"/>
        <v>15.707999999999998</v>
      </c>
      <c r="I18" s="125">
        <f>VLOOKUP(C18,'NHẬP KHO '!C:U,18,0)</f>
        <v>0</v>
      </c>
      <c r="J18" s="206">
        <f>VLOOKUP(C18,'XUẤT KHO'!C:Z,23,0)</f>
        <v>8</v>
      </c>
      <c r="K18" s="242">
        <f t="shared" si="2"/>
        <v>3</v>
      </c>
      <c r="L18" s="125">
        <f t="shared" si="3"/>
        <v>4.2839999999999998</v>
      </c>
      <c r="M18" s="125"/>
      <c r="N18" s="125"/>
      <c r="O18" s="125"/>
    </row>
    <row r="19" spans="1:15" ht="36" customHeight="1">
      <c r="A19" s="125">
        <v>14</v>
      </c>
      <c r="B19" s="218" t="s">
        <v>146</v>
      </c>
      <c r="C19" s="206" t="s">
        <v>147</v>
      </c>
      <c r="D19" s="206"/>
      <c r="E19" s="206" t="s">
        <v>307</v>
      </c>
      <c r="F19" s="219">
        <v>0.246</v>
      </c>
      <c r="G19" s="176"/>
      <c r="H19" s="125">
        <f t="shared" si="1"/>
        <v>0</v>
      </c>
      <c r="I19" s="125">
        <f>VLOOKUP(C19,'NHẬP KHO '!C:U,18,0)</f>
        <v>0</v>
      </c>
      <c r="J19" s="206">
        <f>VLOOKUP(C19,'XUẤT KHO'!C:Z,23,0)</f>
        <v>0</v>
      </c>
      <c r="K19" s="242">
        <f t="shared" si="2"/>
        <v>0</v>
      </c>
      <c r="L19" s="125">
        <f t="shared" si="3"/>
        <v>0</v>
      </c>
      <c r="M19" s="125"/>
      <c r="N19" s="125"/>
      <c r="O19" s="125"/>
    </row>
    <row r="20" spans="1:15" ht="36" customHeight="1">
      <c r="A20" s="206">
        <v>15</v>
      </c>
      <c r="B20" s="218" t="s">
        <v>148</v>
      </c>
      <c r="C20" s="206" t="s">
        <v>149</v>
      </c>
      <c r="D20" s="206"/>
      <c r="E20" s="206" t="s">
        <v>307</v>
      </c>
      <c r="F20" s="219">
        <v>0.23799999999999999</v>
      </c>
      <c r="G20" s="176">
        <v>7</v>
      </c>
      <c r="H20" s="125">
        <f t="shared" si="1"/>
        <v>9.9959999999999987</v>
      </c>
      <c r="I20" s="125">
        <f>VLOOKUP(C20,'NHẬP KHO '!C:U,18,0)</f>
        <v>0</v>
      </c>
      <c r="J20" s="206">
        <f>VLOOKUP(C20,'XUẤT KHO'!C:Z,23,0)</f>
        <v>1</v>
      </c>
      <c r="K20" s="242">
        <f t="shared" si="2"/>
        <v>6</v>
      </c>
      <c r="L20" s="125">
        <f t="shared" si="3"/>
        <v>8.5679999999999996</v>
      </c>
      <c r="M20" s="125"/>
      <c r="N20" s="125"/>
      <c r="O20" s="125"/>
    </row>
    <row r="21" spans="1:15" ht="36" customHeight="1">
      <c r="A21" s="125">
        <v>16</v>
      </c>
      <c r="B21" s="218" t="s">
        <v>150</v>
      </c>
      <c r="C21" s="206" t="s">
        <v>151</v>
      </c>
      <c r="D21" s="206"/>
      <c r="E21" s="206" t="s">
        <v>307</v>
      </c>
      <c r="F21" s="219">
        <v>0.23799999999999999</v>
      </c>
      <c r="G21" s="176">
        <v>30</v>
      </c>
      <c r="H21" s="125">
        <f t="shared" si="1"/>
        <v>42.839999999999996</v>
      </c>
      <c r="I21" s="125">
        <f>VLOOKUP(C21,'NHẬP KHO '!C:U,18,0)</f>
        <v>0</v>
      </c>
      <c r="J21" s="206">
        <f>VLOOKUP(C21,'XUẤT KHO'!C:Z,23,0)</f>
        <v>0</v>
      </c>
      <c r="K21" s="242">
        <f t="shared" si="2"/>
        <v>30</v>
      </c>
      <c r="L21" s="125">
        <f t="shared" si="3"/>
        <v>42.839999999999996</v>
      </c>
      <c r="M21" s="125"/>
      <c r="N21" s="125"/>
      <c r="O21" s="125"/>
    </row>
    <row r="22" spans="1:15" ht="36" customHeight="1">
      <c r="A22" s="206">
        <v>17</v>
      </c>
      <c r="B22" s="218" t="s">
        <v>152</v>
      </c>
      <c r="C22" s="206" t="s">
        <v>153</v>
      </c>
      <c r="D22" s="206"/>
      <c r="E22" s="206" t="s">
        <v>307</v>
      </c>
      <c r="F22" s="219">
        <v>0.23300000000000001</v>
      </c>
      <c r="G22" s="176"/>
      <c r="H22" s="125">
        <f t="shared" si="1"/>
        <v>0</v>
      </c>
      <c r="I22" s="125">
        <f>VLOOKUP(C22,'NHẬP KHO '!C:U,18,0)</f>
        <v>0</v>
      </c>
      <c r="J22" s="206">
        <f>VLOOKUP(C22,'XUẤT KHO'!C:Z,23,0)</f>
        <v>0</v>
      </c>
      <c r="K22" s="242">
        <f t="shared" si="2"/>
        <v>0</v>
      </c>
      <c r="L22" s="125">
        <f t="shared" si="3"/>
        <v>0</v>
      </c>
      <c r="M22" s="125"/>
      <c r="N22" s="125"/>
      <c r="O22" s="125"/>
    </row>
    <row r="23" spans="1:15" ht="36" customHeight="1">
      <c r="A23" s="125">
        <v>18</v>
      </c>
      <c r="B23" s="218" t="s">
        <v>456</v>
      </c>
      <c r="C23" s="206" t="s">
        <v>155</v>
      </c>
      <c r="D23" s="206"/>
      <c r="E23" s="206" t="s">
        <v>307</v>
      </c>
      <c r="F23" s="219">
        <v>0.93300000000000005</v>
      </c>
      <c r="G23" s="176">
        <v>2</v>
      </c>
      <c r="H23" s="125">
        <f t="shared" si="1"/>
        <v>11.196000000000002</v>
      </c>
      <c r="I23" s="125">
        <f>VLOOKUP(C23,'NHẬP KHO '!C:U,18,0)</f>
        <v>0</v>
      </c>
      <c r="J23" s="206">
        <f>VLOOKUP(C23,'XUẤT KHO'!C:Z,23,0)</f>
        <v>0</v>
      </c>
      <c r="K23" s="242">
        <f t="shared" si="2"/>
        <v>2</v>
      </c>
      <c r="L23" s="125">
        <f t="shared" si="3"/>
        <v>11.196000000000002</v>
      </c>
      <c r="M23" s="125"/>
      <c r="N23" s="125"/>
      <c r="O23" s="125"/>
    </row>
    <row r="24" spans="1:15" ht="36" customHeight="1">
      <c r="A24" s="206">
        <v>19</v>
      </c>
      <c r="B24" s="218" t="s">
        <v>156</v>
      </c>
      <c r="C24" s="206" t="s">
        <v>157</v>
      </c>
      <c r="D24" s="206"/>
      <c r="E24" s="206" t="s">
        <v>307</v>
      </c>
      <c r="F24" s="219">
        <v>1.371</v>
      </c>
      <c r="G24" s="176">
        <v>2</v>
      </c>
      <c r="H24" s="125">
        <f t="shared" si="1"/>
        <v>16.451999999999998</v>
      </c>
      <c r="I24" s="125">
        <f>VLOOKUP(C24,'NHẬP KHO '!C:U,18,0)</f>
        <v>0</v>
      </c>
      <c r="J24" s="206">
        <f>VLOOKUP(C24,'XUẤT KHO'!C:Z,23,0)</f>
        <v>0</v>
      </c>
      <c r="K24" s="242">
        <f t="shared" si="2"/>
        <v>2</v>
      </c>
      <c r="L24" s="125">
        <f t="shared" si="3"/>
        <v>16.451999999999998</v>
      </c>
      <c r="M24" s="125"/>
      <c r="N24" s="125"/>
      <c r="O24" s="125"/>
    </row>
    <row r="25" spans="1:15" ht="36" customHeight="1">
      <c r="A25" s="125">
        <v>20</v>
      </c>
      <c r="B25" s="218" t="s">
        <v>166</v>
      </c>
      <c r="C25" s="206" t="s">
        <v>167</v>
      </c>
      <c r="D25" s="206"/>
      <c r="E25" s="206" t="s">
        <v>307</v>
      </c>
      <c r="F25" s="219">
        <v>0.96199999999999997</v>
      </c>
      <c r="G25" s="176"/>
      <c r="H25" s="125">
        <f t="shared" si="1"/>
        <v>0</v>
      </c>
      <c r="I25" s="125">
        <f>VLOOKUP(C25,'NHẬP KHO '!C:U,18,0)</f>
        <v>0</v>
      </c>
      <c r="J25" s="206">
        <f>VLOOKUP(C25,'XUẤT KHO'!C:Z,23,0)</f>
        <v>0</v>
      </c>
      <c r="K25" s="242">
        <f t="shared" si="2"/>
        <v>0</v>
      </c>
      <c r="L25" s="125">
        <f t="shared" si="3"/>
        <v>0</v>
      </c>
      <c r="M25" s="125"/>
      <c r="N25" s="125"/>
      <c r="O25" s="125"/>
    </row>
    <row r="26" spans="1:15" ht="36" customHeight="1">
      <c r="A26" s="206">
        <v>21</v>
      </c>
      <c r="B26" s="218" t="s">
        <v>197</v>
      </c>
      <c r="C26" s="206" t="s">
        <v>158</v>
      </c>
      <c r="D26" s="206"/>
      <c r="E26" s="206" t="s">
        <v>307</v>
      </c>
      <c r="F26" s="219">
        <v>0.36399999999999999</v>
      </c>
      <c r="G26" s="176">
        <v>6</v>
      </c>
      <c r="H26" s="125">
        <f t="shared" si="1"/>
        <v>13.104000000000001</v>
      </c>
      <c r="I26" s="125">
        <f>VLOOKUP(C26,'NHẬP KHO '!C:U,18,0)</f>
        <v>19</v>
      </c>
      <c r="J26" s="206">
        <f>VLOOKUP(C26,'XUẤT KHO'!C:Z,23,0)</f>
        <v>1</v>
      </c>
      <c r="K26" s="242">
        <f t="shared" si="2"/>
        <v>24</v>
      </c>
      <c r="L26" s="125">
        <f t="shared" si="3"/>
        <v>52.416000000000004</v>
      </c>
      <c r="M26" s="125"/>
      <c r="N26" s="125"/>
      <c r="O26" s="125"/>
    </row>
    <row r="27" spans="1:15" ht="36" customHeight="1">
      <c r="A27" s="125">
        <v>22</v>
      </c>
      <c r="B27" s="218" t="s">
        <v>137</v>
      </c>
      <c r="C27" s="206" t="s">
        <v>159</v>
      </c>
      <c r="D27" s="206"/>
      <c r="E27" s="206" t="s">
        <v>307</v>
      </c>
      <c r="F27" s="219">
        <v>0.69699999999999995</v>
      </c>
      <c r="G27" s="176"/>
      <c r="H27" s="125">
        <f t="shared" si="1"/>
        <v>0</v>
      </c>
      <c r="I27" s="125">
        <f>VLOOKUP(C27,'NHẬP KHO '!C:U,18,0)</f>
        <v>0</v>
      </c>
      <c r="J27" s="206">
        <f>VLOOKUP(C27,'XUẤT KHO'!C:Z,23,0)</f>
        <v>0</v>
      </c>
      <c r="K27" s="242">
        <f t="shared" si="2"/>
        <v>0</v>
      </c>
      <c r="L27" s="125">
        <f t="shared" si="3"/>
        <v>0</v>
      </c>
      <c r="M27" s="125"/>
      <c r="N27" s="125"/>
      <c r="O27" s="125"/>
    </row>
    <row r="28" spans="1:15" ht="36" customHeight="1">
      <c r="A28" s="206">
        <v>23</v>
      </c>
      <c r="B28" s="218" t="s">
        <v>160</v>
      </c>
      <c r="C28" s="206" t="s">
        <v>163</v>
      </c>
      <c r="D28" s="206"/>
      <c r="E28" s="206" t="s">
        <v>307</v>
      </c>
      <c r="F28" s="219">
        <v>0.72299999999999998</v>
      </c>
      <c r="G28" s="176"/>
      <c r="H28" s="125">
        <f t="shared" si="1"/>
        <v>0</v>
      </c>
      <c r="I28" s="125">
        <f>VLOOKUP(C28,'NHẬP KHO '!C:U,18,0)</f>
        <v>0</v>
      </c>
      <c r="J28" s="206">
        <f>VLOOKUP(C28,'XUẤT KHO'!C:Z,23,0)</f>
        <v>0</v>
      </c>
      <c r="K28" s="242">
        <f t="shared" si="2"/>
        <v>0</v>
      </c>
      <c r="L28" s="125">
        <f t="shared" si="3"/>
        <v>0</v>
      </c>
      <c r="M28" s="125"/>
      <c r="N28" s="125"/>
      <c r="O28" s="125"/>
    </row>
    <row r="29" spans="1:15" s="46" customFormat="1" ht="36" customHeight="1">
      <c r="A29" s="125">
        <v>24</v>
      </c>
      <c r="B29" s="126" t="s">
        <v>161</v>
      </c>
      <c r="C29" s="125" t="s">
        <v>164</v>
      </c>
      <c r="D29" s="125"/>
      <c r="E29" s="125" t="s">
        <v>307</v>
      </c>
      <c r="F29" s="147">
        <v>0.21</v>
      </c>
      <c r="G29" s="176">
        <v>7</v>
      </c>
      <c r="H29" s="125">
        <f t="shared" si="1"/>
        <v>8.82</v>
      </c>
      <c r="I29" s="125">
        <f>VLOOKUP(C29,'NHẬP KHO '!C:U,18,0)</f>
        <v>0</v>
      </c>
      <c r="J29" s="206">
        <f>VLOOKUP(C29,'XUẤT KHO'!C:Z,23,0)</f>
        <v>3</v>
      </c>
      <c r="K29" s="242">
        <f t="shared" si="2"/>
        <v>4</v>
      </c>
      <c r="L29" s="125">
        <f t="shared" si="3"/>
        <v>5.04</v>
      </c>
      <c r="M29" s="125"/>
      <c r="N29" s="125"/>
      <c r="O29" s="125"/>
    </row>
    <row r="30" spans="1:15" s="46" customFormat="1" ht="36" customHeight="1">
      <c r="A30" s="206">
        <v>25</v>
      </c>
      <c r="B30" s="126" t="s">
        <v>162</v>
      </c>
      <c r="C30" s="125" t="s">
        <v>165</v>
      </c>
      <c r="D30" s="125"/>
      <c r="E30" s="125" t="s">
        <v>307</v>
      </c>
      <c r="F30" s="147">
        <v>0.34</v>
      </c>
      <c r="G30" s="176">
        <v>3</v>
      </c>
      <c r="H30" s="125">
        <f t="shared" si="1"/>
        <v>6.12</v>
      </c>
      <c r="I30" s="125">
        <f>VLOOKUP(C30,'NHẬP KHO '!C:U,18,0)</f>
        <v>0</v>
      </c>
      <c r="J30" s="206">
        <f>VLOOKUP(C30,'XUẤT KHO'!C:Z,23,0)</f>
        <v>0</v>
      </c>
      <c r="K30" s="242">
        <f t="shared" si="2"/>
        <v>3</v>
      </c>
      <c r="L30" s="125">
        <f t="shared" si="3"/>
        <v>6.12</v>
      </c>
      <c r="M30" s="125"/>
      <c r="N30" s="125"/>
      <c r="O30" s="125"/>
    </row>
    <row r="31" spans="1:15" ht="36" customHeight="1">
      <c r="A31" s="125">
        <v>26</v>
      </c>
      <c r="B31" s="218" t="s">
        <v>266</v>
      </c>
      <c r="C31" s="206" t="s">
        <v>267</v>
      </c>
      <c r="D31" s="206"/>
      <c r="E31" s="206" t="s">
        <v>307</v>
      </c>
      <c r="F31" s="219">
        <v>1.5149999999999999</v>
      </c>
      <c r="G31" s="176">
        <v>14</v>
      </c>
      <c r="H31" s="125">
        <f t="shared" si="1"/>
        <v>127.25999999999999</v>
      </c>
      <c r="I31" s="125">
        <f>VLOOKUP(C31,'NHẬP KHO '!C:U,18,0)</f>
        <v>0</v>
      </c>
      <c r="J31" s="206">
        <f>VLOOKUP(C31,'XUẤT KHO'!C:Z,23,0)</f>
        <v>0</v>
      </c>
      <c r="K31" s="242">
        <f t="shared" si="2"/>
        <v>14</v>
      </c>
      <c r="L31" s="125">
        <f t="shared" si="3"/>
        <v>127.25999999999999</v>
      </c>
      <c r="M31" s="125"/>
      <c r="N31" s="125" t="s">
        <v>457</v>
      </c>
      <c r="O31" s="125"/>
    </row>
    <row r="32" spans="1:15" ht="36" customHeight="1">
      <c r="A32" s="206">
        <v>27</v>
      </c>
      <c r="B32" s="218" t="s">
        <v>268</v>
      </c>
      <c r="C32" s="206" t="s">
        <v>269</v>
      </c>
      <c r="D32" s="206"/>
      <c r="E32" s="206" t="s">
        <v>307</v>
      </c>
      <c r="F32" s="219">
        <v>1.5149999999999999</v>
      </c>
      <c r="G32" s="176">
        <v>22</v>
      </c>
      <c r="H32" s="125">
        <f t="shared" si="1"/>
        <v>199.98</v>
      </c>
      <c r="I32" s="125">
        <f>VLOOKUP(C32,'NHẬP KHO '!C:U,18,0)</f>
        <v>0</v>
      </c>
      <c r="J32" s="206">
        <f>VLOOKUP(C32,'XUẤT KHO'!C:Z,23,0)</f>
        <v>4</v>
      </c>
      <c r="K32" s="242">
        <f t="shared" si="2"/>
        <v>18</v>
      </c>
      <c r="L32" s="125">
        <f t="shared" si="3"/>
        <v>163.62</v>
      </c>
      <c r="M32" s="125"/>
      <c r="N32" s="125" t="s">
        <v>458</v>
      </c>
      <c r="O32" s="125"/>
    </row>
    <row r="33" spans="1:15" s="46" customFormat="1" ht="36" customHeight="1">
      <c r="A33" s="125">
        <v>28</v>
      </c>
      <c r="B33" s="126" t="s">
        <v>270</v>
      </c>
      <c r="C33" s="125" t="s">
        <v>271</v>
      </c>
      <c r="D33" s="125"/>
      <c r="E33" s="125" t="s">
        <v>307</v>
      </c>
      <c r="F33" s="147">
        <v>1.163</v>
      </c>
      <c r="G33" s="176">
        <v>10</v>
      </c>
      <c r="H33" s="125">
        <f t="shared" si="1"/>
        <v>69.78</v>
      </c>
      <c r="I33" s="125">
        <f>VLOOKUP(C33,'NHẬP KHO '!C:U,18,0)</f>
        <v>0</v>
      </c>
      <c r="J33" s="206">
        <f>VLOOKUP(C33,'XUẤT KHO'!C:Z,23,0)</f>
        <v>3</v>
      </c>
      <c r="K33" s="242">
        <f t="shared" si="2"/>
        <v>7</v>
      </c>
      <c r="L33" s="125">
        <f t="shared" si="3"/>
        <v>48.846000000000004</v>
      </c>
      <c r="M33" s="125"/>
      <c r="N33" s="125"/>
      <c r="O33" s="125"/>
    </row>
    <row r="34" spans="1:15" ht="45.75" customHeight="1">
      <c r="A34" s="206">
        <v>29</v>
      </c>
      <c r="B34" s="218" t="s">
        <v>396</v>
      </c>
      <c r="C34" s="206" t="s">
        <v>272</v>
      </c>
      <c r="D34" s="206"/>
      <c r="E34" s="206" t="s">
        <v>307</v>
      </c>
      <c r="F34" s="219">
        <v>0.23300000000000001</v>
      </c>
      <c r="G34" s="176">
        <v>40</v>
      </c>
      <c r="H34" s="125">
        <f t="shared" si="1"/>
        <v>55.92</v>
      </c>
      <c r="I34" s="125">
        <f>VLOOKUP(C34,'NHẬP KHO '!C:U,18,0)</f>
        <v>0</v>
      </c>
      <c r="J34" s="206">
        <f>VLOOKUP(C34,'XUẤT KHO'!C:Z,23,0)</f>
        <v>0</v>
      </c>
      <c r="K34" s="242">
        <f t="shared" si="2"/>
        <v>40</v>
      </c>
      <c r="L34" s="125">
        <f t="shared" si="3"/>
        <v>55.92</v>
      </c>
      <c r="M34" s="125"/>
      <c r="N34" s="125"/>
      <c r="O34" s="125"/>
    </row>
    <row r="35" spans="1:15" ht="41.25" customHeight="1">
      <c r="A35" s="125">
        <v>30</v>
      </c>
      <c r="B35" s="218" t="s">
        <v>142</v>
      </c>
      <c r="C35" s="206" t="s">
        <v>398</v>
      </c>
      <c r="D35" s="206"/>
      <c r="E35" s="206" t="s">
        <v>307</v>
      </c>
      <c r="F35" s="219">
        <v>0.40500000000000003</v>
      </c>
      <c r="G35" s="176">
        <v>25</v>
      </c>
      <c r="H35" s="125">
        <f t="shared" si="1"/>
        <v>60.75</v>
      </c>
      <c r="I35" s="125">
        <f>VLOOKUP(C35,'NHẬP KHO '!C:U,18,0)</f>
        <v>0</v>
      </c>
      <c r="J35" s="206">
        <f>VLOOKUP(C35,'XUẤT KHO'!C:Z,23,0)</f>
        <v>0</v>
      </c>
      <c r="K35" s="242">
        <f t="shared" si="2"/>
        <v>25</v>
      </c>
      <c r="L35" s="125">
        <f t="shared" si="3"/>
        <v>60.75</v>
      </c>
      <c r="M35" s="125"/>
      <c r="N35" s="125"/>
      <c r="O35" s="125"/>
    </row>
    <row r="36" spans="1:15" s="46" customFormat="1" ht="36" customHeight="1">
      <c r="A36" s="206">
        <v>31</v>
      </c>
      <c r="B36" s="126" t="s">
        <v>332</v>
      </c>
      <c r="C36" s="125" t="s">
        <v>330</v>
      </c>
      <c r="D36" s="125"/>
      <c r="E36" s="125" t="s">
        <v>307</v>
      </c>
      <c r="F36" s="147">
        <v>0.31</v>
      </c>
      <c r="G36" s="176">
        <v>57</v>
      </c>
      <c r="H36" s="125">
        <f t="shared" si="1"/>
        <v>106.01999999999998</v>
      </c>
      <c r="I36" s="125">
        <f>VLOOKUP(C36,'NHẬP KHO '!C:U,18,0)</f>
        <v>20</v>
      </c>
      <c r="J36" s="206">
        <f>VLOOKUP(C36,'XUẤT KHO'!C:Z,23,0)</f>
        <v>37</v>
      </c>
      <c r="K36" s="242">
        <f t="shared" si="2"/>
        <v>40</v>
      </c>
      <c r="L36" s="125">
        <f t="shared" si="3"/>
        <v>74.400000000000006</v>
      </c>
      <c r="M36" s="125"/>
      <c r="N36" s="125"/>
      <c r="O36" s="125"/>
    </row>
    <row r="37" spans="1:15" s="46" customFormat="1" ht="36" customHeight="1">
      <c r="A37" s="125">
        <v>32</v>
      </c>
      <c r="B37" s="126" t="s">
        <v>332</v>
      </c>
      <c r="C37" s="125" t="s">
        <v>331</v>
      </c>
      <c r="D37" s="125"/>
      <c r="E37" s="125" t="s">
        <v>307</v>
      </c>
      <c r="F37" s="147">
        <v>0.27800000000000002</v>
      </c>
      <c r="G37" s="176">
        <v>20</v>
      </c>
      <c r="H37" s="125">
        <f t="shared" si="1"/>
        <v>33.36</v>
      </c>
      <c r="I37" s="125">
        <f>VLOOKUP(C37,'NHẬP KHO '!C:U,18,0)</f>
        <v>20</v>
      </c>
      <c r="J37" s="206">
        <f>VLOOKUP(C37,'XUẤT KHO'!C:Z,23,0)</f>
        <v>13</v>
      </c>
      <c r="K37" s="242">
        <f t="shared" si="2"/>
        <v>27</v>
      </c>
      <c r="L37" s="125">
        <f t="shared" si="3"/>
        <v>45.036000000000001</v>
      </c>
      <c r="M37" s="125"/>
      <c r="N37" s="125"/>
      <c r="O37" s="220"/>
    </row>
    <row r="38" spans="1:15" ht="36" customHeight="1">
      <c r="A38" s="201" t="s">
        <v>298</v>
      </c>
      <c r="B38" s="28" t="s">
        <v>245</v>
      </c>
      <c r="C38" s="28"/>
      <c r="D38" s="28"/>
      <c r="E38" s="201" t="s">
        <v>307</v>
      </c>
      <c r="F38" s="201"/>
      <c r="G38" s="217">
        <f t="shared" ref="G38:L38" si="4">SUM(G39:G41)</f>
        <v>2</v>
      </c>
      <c r="H38" s="217">
        <f t="shared" si="4"/>
        <v>11.495999999999999</v>
      </c>
      <c r="I38" s="217">
        <f t="shared" si="4"/>
        <v>0</v>
      </c>
      <c r="J38" s="232">
        <f>SUM(J39:J41)</f>
        <v>0</v>
      </c>
      <c r="K38" s="198">
        <f t="shared" si="4"/>
        <v>2</v>
      </c>
      <c r="L38" s="217">
        <f t="shared" si="4"/>
        <v>11.495999999999999</v>
      </c>
      <c r="M38" s="217"/>
      <c r="N38" s="217">
        <f>SUM(N39:N41)</f>
        <v>0</v>
      </c>
      <c r="O38" s="217">
        <f>SUM(O39:O41)</f>
        <v>0</v>
      </c>
    </row>
    <row r="39" spans="1:15" ht="36" customHeight="1">
      <c r="A39" s="206">
        <v>1</v>
      </c>
      <c r="B39" s="218" t="s">
        <v>230</v>
      </c>
      <c r="C39" s="206" t="s">
        <v>300</v>
      </c>
      <c r="D39" s="206"/>
      <c r="E39" s="206" t="s">
        <v>307</v>
      </c>
      <c r="F39" s="219">
        <v>0.95799999999999996</v>
      </c>
      <c r="G39" s="176">
        <v>2</v>
      </c>
      <c r="H39" s="125">
        <f>F39*G39*6</f>
        <v>11.495999999999999</v>
      </c>
      <c r="I39" s="125">
        <f>VLOOKUP(C39,'NHẬP KHO '!C:U,18,0)</f>
        <v>0</v>
      </c>
      <c r="J39" s="206">
        <f>VLOOKUP(C39,'XUẤT KHO'!C:Z,23,0)</f>
        <v>0</v>
      </c>
      <c r="K39" s="242">
        <f>G39+I39-J39</f>
        <v>2</v>
      </c>
      <c r="L39" s="125">
        <f>F39*K39*6</f>
        <v>11.495999999999999</v>
      </c>
      <c r="M39" s="125"/>
      <c r="N39" s="125"/>
      <c r="O39" s="125"/>
    </row>
    <row r="40" spans="1:15" ht="36" customHeight="1">
      <c r="A40" s="206">
        <v>2</v>
      </c>
      <c r="B40" s="218" t="s">
        <v>232</v>
      </c>
      <c r="C40" s="206" t="s">
        <v>299</v>
      </c>
      <c r="D40" s="206"/>
      <c r="E40" s="206" t="s">
        <v>307</v>
      </c>
      <c r="F40" s="219">
        <v>1.038</v>
      </c>
      <c r="G40" s="176"/>
      <c r="H40" s="125">
        <f>F40*G40*6</f>
        <v>0</v>
      </c>
      <c r="I40" s="125">
        <f>VLOOKUP(C40,'NHẬP KHO '!C:U,18,0)</f>
        <v>0</v>
      </c>
      <c r="J40" s="206">
        <f>VLOOKUP(C40,'XUẤT KHO'!C:Z,23,0)</f>
        <v>0</v>
      </c>
      <c r="K40" s="242">
        <f>G40+I40-J40</f>
        <v>0</v>
      </c>
      <c r="L40" s="125">
        <f>F40*K40*6</f>
        <v>0</v>
      </c>
      <c r="M40" s="125"/>
      <c r="N40" s="220"/>
      <c r="O40" s="220"/>
    </row>
    <row r="41" spans="1:15" ht="36" customHeight="1">
      <c r="A41" s="206">
        <v>3</v>
      </c>
      <c r="B41" s="218" t="s">
        <v>302</v>
      </c>
      <c r="C41" s="206" t="s">
        <v>235</v>
      </c>
      <c r="D41" s="206"/>
      <c r="E41" s="206" t="s">
        <v>307</v>
      </c>
      <c r="F41" s="219">
        <v>0.75</v>
      </c>
      <c r="G41" s="176"/>
      <c r="H41" s="125">
        <f>F41*G41*6</f>
        <v>0</v>
      </c>
      <c r="I41" s="125">
        <f>VLOOKUP(C41,'NHẬP KHO '!C:U,18,0)</f>
        <v>0</v>
      </c>
      <c r="J41" s="206">
        <f>VLOOKUP(C41,'XUẤT KHO'!C:Z,23,0)</f>
        <v>0</v>
      </c>
      <c r="K41" s="242">
        <f>G41+I41-J41</f>
        <v>0</v>
      </c>
      <c r="L41" s="125">
        <f>F41*K41*6</f>
        <v>0</v>
      </c>
      <c r="M41" s="125"/>
      <c r="N41" s="125"/>
      <c r="O41" s="125"/>
    </row>
    <row r="42" spans="1:15" ht="36" customHeight="1">
      <c r="A42" s="201" t="s">
        <v>277</v>
      </c>
      <c r="B42" s="28" t="s">
        <v>168</v>
      </c>
      <c r="C42" s="28"/>
      <c r="D42" s="28"/>
      <c r="E42" s="201" t="s">
        <v>307</v>
      </c>
      <c r="F42" s="201"/>
      <c r="G42" s="217">
        <f t="shared" ref="G42:L42" si="5">SUM(G43:G45)</f>
        <v>28</v>
      </c>
      <c r="H42" s="217">
        <f t="shared" si="5"/>
        <v>186.51599999999999</v>
      </c>
      <c r="I42" s="217">
        <f t="shared" si="5"/>
        <v>0</v>
      </c>
      <c r="J42" s="232">
        <f>SUM(J43:J45)</f>
        <v>0</v>
      </c>
      <c r="K42" s="198">
        <f t="shared" si="5"/>
        <v>28</v>
      </c>
      <c r="L42" s="217">
        <f t="shared" si="5"/>
        <v>186.51599999999999</v>
      </c>
      <c r="M42" s="217"/>
      <c r="N42" s="217">
        <f>SUM(N43:N45)</f>
        <v>0</v>
      </c>
      <c r="O42" s="217">
        <f>SUM(O43:O45)</f>
        <v>0</v>
      </c>
    </row>
    <row r="43" spans="1:15" ht="36" customHeight="1">
      <c r="A43" s="206">
        <v>1</v>
      </c>
      <c r="B43" s="218" t="s">
        <v>169</v>
      </c>
      <c r="C43" s="206" t="s">
        <v>294</v>
      </c>
      <c r="D43" s="206"/>
      <c r="E43" s="206" t="s">
        <v>307</v>
      </c>
      <c r="F43" s="219">
        <v>1.0409999999999999</v>
      </c>
      <c r="G43" s="176">
        <v>11</v>
      </c>
      <c r="H43" s="125">
        <f>F43*G43*6</f>
        <v>68.705999999999989</v>
      </c>
      <c r="I43" s="125">
        <f>VLOOKUP(C43,'NHẬP KHO '!C:U,18,0)</f>
        <v>0</v>
      </c>
      <c r="J43" s="206">
        <f>VLOOKUP(C43,'XUẤT KHO'!C:Z,23,0)</f>
        <v>0</v>
      </c>
      <c r="K43" s="242">
        <f>G43+I43-J43</f>
        <v>11</v>
      </c>
      <c r="L43" s="125">
        <f>F43*K43*6</f>
        <v>68.705999999999989</v>
      </c>
      <c r="M43" s="125"/>
      <c r="N43" s="125"/>
      <c r="O43" s="125"/>
    </row>
    <row r="44" spans="1:15" ht="36" customHeight="1">
      <c r="A44" s="206">
        <v>2</v>
      </c>
      <c r="B44" s="218" t="s">
        <v>170</v>
      </c>
      <c r="C44" s="206" t="s">
        <v>295</v>
      </c>
      <c r="D44" s="206"/>
      <c r="E44" s="206" t="s">
        <v>307</v>
      </c>
      <c r="F44" s="219">
        <v>1.155</v>
      </c>
      <c r="G44" s="176">
        <v>17</v>
      </c>
      <c r="H44" s="125">
        <f>F44*G44*6</f>
        <v>117.81</v>
      </c>
      <c r="I44" s="125">
        <f>VLOOKUP(C44,'NHẬP KHO '!C:U,18,0)</f>
        <v>0</v>
      </c>
      <c r="J44" s="206">
        <f>VLOOKUP(C44,'XUẤT KHO'!C:Z,23,0)</f>
        <v>0</v>
      </c>
      <c r="K44" s="242">
        <f>G44+I44-J44</f>
        <v>17</v>
      </c>
      <c r="L44" s="125">
        <f>F44*K44*6</f>
        <v>117.81</v>
      </c>
      <c r="M44" s="125"/>
      <c r="N44" s="220"/>
      <c r="O44" s="220"/>
    </row>
    <row r="45" spans="1:15" ht="36" customHeight="1">
      <c r="A45" s="125">
        <v>3</v>
      </c>
      <c r="B45" s="126" t="s">
        <v>171</v>
      </c>
      <c r="C45" s="125" t="s">
        <v>296</v>
      </c>
      <c r="D45" s="125"/>
      <c r="E45" s="125" t="s">
        <v>307</v>
      </c>
      <c r="F45" s="147">
        <v>0.42</v>
      </c>
      <c r="G45" s="176"/>
      <c r="H45" s="125">
        <f>F45*G45*6</f>
        <v>0</v>
      </c>
      <c r="I45" s="125">
        <f>VLOOKUP(C45,'NHẬP KHO '!C:U,18,0)</f>
        <v>0</v>
      </c>
      <c r="J45" s="206">
        <f>VLOOKUP(C45,'XUẤT KHO'!C:Z,23,0)</f>
        <v>0</v>
      </c>
      <c r="K45" s="242">
        <f>G45+I45-J45</f>
        <v>0</v>
      </c>
      <c r="L45" s="125">
        <f>F45*K45*6</f>
        <v>0</v>
      </c>
      <c r="M45" s="125"/>
      <c r="N45" s="125"/>
      <c r="O45" s="125"/>
    </row>
    <row r="46" spans="1:15" ht="27" customHeight="1">
      <c r="A46" s="201" t="s">
        <v>304</v>
      </c>
      <c r="B46" s="28" t="s">
        <v>117</v>
      </c>
      <c r="C46" s="28" t="s">
        <v>329</v>
      </c>
      <c r="D46" s="28"/>
      <c r="E46" s="201" t="s">
        <v>307</v>
      </c>
      <c r="F46" s="201"/>
      <c r="G46" s="217">
        <f t="shared" ref="G46:L46" si="6">SUM(G47:G48)</f>
        <v>0</v>
      </c>
      <c r="H46" s="217">
        <f t="shared" si="6"/>
        <v>0</v>
      </c>
      <c r="I46" s="217">
        <f t="shared" si="6"/>
        <v>0</v>
      </c>
      <c r="J46" s="232">
        <f>J47+J48</f>
        <v>0</v>
      </c>
      <c r="K46" s="198">
        <f t="shared" si="6"/>
        <v>0</v>
      </c>
      <c r="L46" s="217">
        <f t="shared" si="6"/>
        <v>0</v>
      </c>
      <c r="M46" s="217"/>
      <c r="N46" s="217">
        <f>SUM(N47:N48)</f>
        <v>0</v>
      </c>
      <c r="O46" s="217">
        <f>SUM(O47:O48)</f>
        <v>0</v>
      </c>
    </row>
    <row r="47" spans="1:15" customFormat="1" ht="36" customHeight="1">
      <c r="A47" s="125">
        <v>1</v>
      </c>
      <c r="B47" s="126" t="s">
        <v>265</v>
      </c>
      <c r="C47" s="125" t="s">
        <v>325</v>
      </c>
      <c r="D47" s="125"/>
      <c r="E47" s="125" t="s">
        <v>307</v>
      </c>
      <c r="F47" s="221">
        <v>0.23899999999999999</v>
      </c>
      <c r="G47" s="176"/>
      <c r="H47" s="125">
        <f>F47*G47*6</f>
        <v>0</v>
      </c>
      <c r="I47" s="125">
        <f>VLOOKUP(C47,'NHẬP KHO '!C:U,18,0)</f>
        <v>0</v>
      </c>
      <c r="J47" s="206">
        <f>VLOOKUP(C47,'XUẤT KHO'!C:Z,23,0)</f>
        <v>0</v>
      </c>
      <c r="K47" s="175">
        <f>G47+I47-J47</f>
        <v>0</v>
      </c>
      <c r="L47" s="125">
        <f>F47*K47*6</f>
        <v>0</v>
      </c>
      <c r="M47" s="125"/>
      <c r="N47" s="222"/>
      <c r="O47" s="125"/>
    </row>
    <row r="48" spans="1:15" s="95" customFormat="1" ht="36" customHeight="1">
      <c r="A48" s="125">
        <v>2</v>
      </c>
      <c r="B48" s="126" t="s">
        <v>27</v>
      </c>
      <c r="C48" s="125" t="s">
        <v>326</v>
      </c>
      <c r="D48" s="125"/>
      <c r="E48" s="125" t="s">
        <v>307</v>
      </c>
      <c r="F48" s="221">
        <v>1.079</v>
      </c>
      <c r="G48" s="176"/>
      <c r="H48" s="125">
        <f>F48*G48*6</f>
        <v>0</v>
      </c>
      <c r="I48" s="125">
        <f>VLOOKUP(C48,'NHẬP KHO '!C:U,18,0)</f>
        <v>0</v>
      </c>
      <c r="J48" s="206">
        <f>VLOOKUP(C48,'XUẤT KHO'!C:Z,23,0)</f>
        <v>0</v>
      </c>
      <c r="K48" s="175">
        <f>G48+I48-J48</f>
        <v>0</v>
      </c>
      <c r="L48" s="125">
        <f>F48*K48*6</f>
        <v>0</v>
      </c>
      <c r="M48" s="125"/>
      <c r="N48" s="222"/>
      <c r="O48" s="125"/>
    </row>
    <row r="49" spans="1:66" ht="27" customHeight="1">
      <c r="A49" s="201" t="s">
        <v>305</v>
      </c>
      <c r="B49" s="28" t="s">
        <v>117</v>
      </c>
      <c r="C49" s="28" t="s">
        <v>301</v>
      </c>
      <c r="D49" s="28"/>
      <c r="E49" s="201" t="s">
        <v>307</v>
      </c>
      <c r="F49" s="201"/>
      <c r="G49" s="217">
        <f t="shared" ref="G49:L49" si="7">SUM(G50:G61)</f>
        <v>102</v>
      </c>
      <c r="H49" s="217">
        <f t="shared" si="7"/>
        <v>524.94000000000005</v>
      </c>
      <c r="I49" s="217">
        <f t="shared" si="7"/>
        <v>243</v>
      </c>
      <c r="J49" s="232">
        <f>SUM(J50:J61)</f>
        <v>65</v>
      </c>
      <c r="K49" s="198">
        <f t="shared" si="7"/>
        <v>280</v>
      </c>
      <c r="L49" s="217">
        <f t="shared" si="7"/>
        <v>1399.962</v>
      </c>
      <c r="M49" s="217"/>
      <c r="N49" s="217">
        <f>SUM(N50:N61)</f>
        <v>0</v>
      </c>
      <c r="O49" s="217">
        <f>SUM(O50:O61)</f>
        <v>0</v>
      </c>
    </row>
    <row r="50" spans="1:66" s="46" customFormat="1" ht="36" customHeight="1">
      <c r="A50" s="125">
        <v>1</v>
      </c>
      <c r="B50" s="126" t="s">
        <v>328</v>
      </c>
      <c r="C50" s="125" t="s">
        <v>333</v>
      </c>
      <c r="D50" s="144"/>
      <c r="E50" s="125" t="s">
        <v>307</v>
      </c>
      <c r="F50" s="125">
        <v>1.4770000000000001</v>
      </c>
      <c r="G50" s="176">
        <v>10</v>
      </c>
      <c r="H50" s="125">
        <f t="shared" ref="H50:H61" si="8">F50*G50*6</f>
        <v>88.62</v>
      </c>
      <c r="I50" s="125">
        <f>VLOOKUP(C50,'NHẬP KHO '!C:U,18,0)</f>
        <v>64</v>
      </c>
      <c r="J50" s="206">
        <f>VLOOKUP(C50,'XUẤT KHO'!C:Z,23,0)</f>
        <v>30</v>
      </c>
      <c r="K50" s="175">
        <f t="shared" ref="K50:K61" si="9">G50+I50-J50</f>
        <v>44</v>
      </c>
      <c r="L50" s="125">
        <f t="shared" ref="L50:L61" si="10">F50*K50*6</f>
        <v>389.928</v>
      </c>
      <c r="M50" s="125"/>
      <c r="N50" s="125"/>
      <c r="O50" s="125"/>
    </row>
    <row r="51" spans="1:66" s="46" customFormat="1" ht="36" customHeight="1">
      <c r="A51" s="125">
        <v>2</v>
      </c>
      <c r="B51" s="126" t="s">
        <v>22</v>
      </c>
      <c r="C51" s="125" t="s">
        <v>334</v>
      </c>
      <c r="D51" s="144"/>
      <c r="E51" s="125" t="s">
        <v>307</v>
      </c>
      <c r="F51" s="125">
        <v>1.8129999999999999</v>
      </c>
      <c r="G51" s="176">
        <v>7</v>
      </c>
      <c r="H51" s="125">
        <f t="shared" si="8"/>
        <v>76.145999999999987</v>
      </c>
      <c r="I51" s="125">
        <f>VLOOKUP(C51,'NHẬP KHO '!C:U,18,0)</f>
        <v>16</v>
      </c>
      <c r="J51" s="206">
        <f>VLOOKUP(C51,'XUẤT KHO'!C:Z,23,0)</f>
        <v>15</v>
      </c>
      <c r="K51" s="175">
        <f t="shared" si="9"/>
        <v>8</v>
      </c>
      <c r="L51" s="125">
        <f t="shared" si="10"/>
        <v>87.024000000000001</v>
      </c>
      <c r="M51" s="125"/>
      <c r="N51" s="125" t="s">
        <v>459</v>
      </c>
      <c r="O51" s="125"/>
    </row>
    <row r="52" spans="1:66" s="46" customFormat="1" ht="36" customHeight="1">
      <c r="A52" s="125">
        <v>3</v>
      </c>
      <c r="B52" s="126" t="s">
        <v>23</v>
      </c>
      <c r="C52" s="125" t="s">
        <v>335</v>
      </c>
      <c r="D52" s="125"/>
      <c r="E52" s="125" t="s">
        <v>307</v>
      </c>
      <c r="F52" s="125">
        <v>1.8140000000000001</v>
      </c>
      <c r="G52" s="176">
        <v>4</v>
      </c>
      <c r="H52" s="125">
        <f t="shared" si="8"/>
        <v>43.536000000000001</v>
      </c>
      <c r="I52" s="125">
        <f>VLOOKUP(C52,'NHẬP KHO '!C:U,18,0)</f>
        <v>0</v>
      </c>
      <c r="J52" s="206">
        <f>VLOOKUP(C52,'XUẤT KHO'!C:Z,23,0)</f>
        <v>0</v>
      </c>
      <c r="K52" s="175">
        <f t="shared" si="9"/>
        <v>4</v>
      </c>
      <c r="L52" s="125">
        <f t="shared" si="10"/>
        <v>43.536000000000001</v>
      </c>
      <c r="M52" s="125"/>
      <c r="N52" s="222"/>
      <c r="O52" s="125"/>
    </row>
    <row r="53" spans="1:66" s="46" customFormat="1" ht="36" customHeight="1">
      <c r="A53" s="125">
        <v>4</v>
      </c>
      <c r="B53" s="126" t="s">
        <v>24</v>
      </c>
      <c r="C53" s="125" t="s">
        <v>337</v>
      </c>
      <c r="D53" s="125"/>
      <c r="E53" s="125" t="s">
        <v>307</v>
      </c>
      <c r="F53" s="125">
        <v>1.4019999999999999</v>
      </c>
      <c r="G53" s="176">
        <v>6</v>
      </c>
      <c r="H53" s="125">
        <f t="shared" si="8"/>
        <v>50.471999999999994</v>
      </c>
      <c r="I53" s="125">
        <f>VLOOKUP(C53,'NHẬP KHO '!C:U,18,0)</f>
        <v>51</v>
      </c>
      <c r="J53" s="206">
        <f>VLOOKUP(C53,'XUẤT KHO'!C:Z,23,0)</f>
        <v>14</v>
      </c>
      <c r="K53" s="175">
        <f t="shared" si="9"/>
        <v>43</v>
      </c>
      <c r="L53" s="125">
        <f t="shared" si="10"/>
        <v>361.71599999999995</v>
      </c>
      <c r="M53" s="125"/>
      <c r="N53" s="222"/>
      <c r="O53" s="125"/>
    </row>
    <row r="54" spans="1:66" s="95" customFormat="1" ht="36" customHeight="1">
      <c r="A54" s="125">
        <v>5</v>
      </c>
      <c r="B54" s="126" t="s">
        <v>9</v>
      </c>
      <c r="C54" s="125" t="s">
        <v>338</v>
      </c>
      <c r="D54" s="125"/>
      <c r="E54" s="125" t="s">
        <v>307</v>
      </c>
      <c r="F54" s="125">
        <v>0.41499999999999998</v>
      </c>
      <c r="G54" s="176"/>
      <c r="H54" s="125">
        <f t="shared" si="8"/>
        <v>0</v>
      </c>
      <c r="I54" s="125">
        <f>VLOOKUP(C54,'NHẬP KHO '!C:U,18,0)</f>
        <v>10</v>
      </c>
      <c r="J54" s="206">
        <f>VLOOKUP(C54,'XUẤT KHO'!C:Z,23,0)</f>
        <v>2</v>
      </c>
      <c r="K54" s="175">
        <f t="shared" si="9"/>
        <v>8</v>
      </c>
      <c r="L54" s="125">
        <f t="shared" si="10"/>
        <v>19.919999999999998</v>
      </c>
      <c r="M54" s="125"/>
      <c r="N54" s="222"/>
      <c r="O54" s="125"/>
    </row>
    <row r="55" spans="1:66" s="140" customFormat="1" ht="36" customHeight="1">
      <c r="A55" s="125">
        <v>6</v>
      </c>
      <c r="B55" s="126" t="s">
        <v>342</v>
      </c>
      <c r="C55" s="125" t="s">
        <v>341</v>
      </c>
      <c r="D55" s="125"/>
      <c r="E55" s="125" t="s">
        <v>307</v>
      </c>
      <c r="F55" s="125">
        <v>0.27800000000000002</v>
      </c>
      <c r="G55" s="176">
        <v>37</v>
      </c>
      <c r="H55" s="125">
        <f t="shared" si="8"/>
        <v>61.716000000000008</v>
      </c>
      <c r="I55" s="125">
        <f>VLOOKUP(C55,'NHẬP KHO '!C:U,18,0)</f>
        <v>84</v>
      </c>
      <c r="J55" s="206">
        <f>VLOOKUP(C55,'XUẤT KHO'!C:Z,23,0)</f>
        <v>0</v>
      </c>
      <c r="K55" s="175">
        <f t="shared" si="9"/>
        <v>121</v>
      </c>
      <c r="L55" s="125">
        <f t="shared" si="10"/>
        <v>201.82800000000003</v>
      </c>
      <c r="M55" s="125"/>
      <c r="N55" s="222"/>
      <c r="O55" s="12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</row>
    <row r="56" spans="1:66" s="95" customFormat="1" ht="36" customHeight="1">
      <c r="A56" s="125">
        <v>7</v>
      </c>
      <c r="B56" s="126" t="s">
        <v>339</v>
      </c>
      <c r="C56" s="125" t="s">
        <v>340</v>
      </c>
      <c r="D56" s="125"/>
      <c r="E56" s="125" t="s">
        <v>307</v>
      </c>
      <c r="F56" s="125">
        <v>0.33400000000000002</v>
      </c>
      <c r="G56" s="176">
        <v>5</v>
      </c>
      <c r="H56" s="125">
        <f t="shared" si="8"/>
        <v>10.020000000000001</v>
      </c>
      <c r="I56" s="125">
        <f>VLOOKUP(C56,'NHẬP KHO '!C:U,18,0)</f>
        <v>0</v>
      </c>
      <c r="J56" s="206">
        <f>VLOOKUP(C56,'XUẤT KHO'!C:Z,23,0)</f>
        <v>0</v>
      </c>
      <c r="K56" s="175">
        <f t="shared" si="9"/>
        <v>5</v>
      </c>
      <c r="L56" s="125">
        <f t="shared" si="10"/>
        <v>10.020000000000001</v>
      </c>
      <c r="M56" s="125"/>
      <c r="N56" s="220"/>
      <c r="O56" s="220"/>
    </row>
    <row r="57" spans="1:66" s="95" customFormat="1" ht="36" customHeight="1">
      <c r="A57" s="125">
        <v>8</v>
      </c>
      <c r="B57" s="126" t="s">
        <v>343</v>
      </c>
      <c r="C57" s="125" t="s">
        <v>344</v>
      </c>
      <c r="D57" s="125"/>
      <c r="E57" s="125" t="s">
        <v>307</v>
      </c>
      <c r="F57" s="125">
        <v>0.91700000000000004</v>
      </c>
      <c r="G57" s="176">
        <v>9</v>
      </c>
      <c r="H57" s="125">
        <f t="shared" si="8"/>
        <v>49.518000000000001</v>
      </c>
      <c r="I57" s="125">
        <f>VLOOKUP(C57,'NHẬP KHO '!C:U,18,0)</f>
        <v>0</v>
      </c>
      <c r="J57" s="206">
        <f>VLOOKUP(C57,'XUẤT KHO'!C:Z,23,0)</f>
        <v>0</v>
      </c>
      <c r="K57" s="175">
        <f t="shared" si="9"/>
        <v>9</v>
      </c>
      <c r="L57" s="125">
        <f t="shared" si="10"/>
        <v>49.518000000000001</v>
      </c>
      <c r="M57" s="125"/>
      <c r="N57" s="125"/>
      <c r="O57" s="125"/>
    </row>
    <row r="58" spans="1:66" s="95" customFormat="1" ht="36" customHeight="1">
      <c r="A58" s="125">
        <v>9</v>
      </c>
      <c r="B58" s="126" t="s">
        <v>345</v>
      </c>
      <c r="C58" s="125" t="s">
        <v>346</v>
      </c>
      <c r="D58" s="125"/>
      <c r="E58" s="125" t="s">
        <v>307</v>
      </c>
      <c r="F58" s="125">
        <v>1.0900000000000001</v>
      </c>
      <c r="G58" s="176">
        <v>5</v>
      </c>
      <c r="H58" s="125">
        <f t="shared" si="8"/>
        <v>32.700000000000003</v>
      </c>
      <c r="I58" s="125">
        <f>VLOOKUP(C58,'NHẬP KHO '!C:U,18,0)</f>
        <v>18</v>
      </c>
      <c r="J58" s="206">
        <f>VLOOKUP(C58,'XUẤT KHO'!C:Z,23,0)</f>
        <v>4</v>
      </c>
      <c r="K58" s="175">
        <f t="shared" si="9"/>
        <v>19</v>
      </c>
      <c r="L58" s="125">
        <f t="shared" si="10"/>
        <v>124.26</v>
      </c>
      <c r="M58" s="125"/>
      <c r="N58" s="125"/>
      <c r="O58" s="125"/>
    </row>
    <row r="59" spans="1:66" s="95" customFormat="1" ht="36" customHeight="1">
      <c r="A59" s="125">
        <v>10</v>
      </c>
      <c r="B59" s="126" t="s">
        <v>347</v>
      </c>
      <c r="C59" s="125" t="s">
        <v>336</v>
      </c>
      <c r="D59" s="125"/>
      <c r="E59" s="125" t="s">
        <v>307</v>
      </c>
      <c r="F59" s="125">
        <v>1.2689999999999999</v>
      </c>
      <c r="G59" s="176">
        <v>10</v>
      </c>
      <c r="H59" s="125">
        <f t="shared" si="8"/>
        <v>76.14</v>
      </c>
      <c r="I59" s="125">
        <f>VLOOKUP(C59,'NHẬP KHO '!C:U,18,0)</f>
        <v>0</v>
      </c>
      <c r="J59" s="206">
        <f>VLOOKUP(C59,'XUẤT KHO'!C:Z,23,0)</f>
        <v>0</v>
      </c>
      <c r="K59" s="175">
        <f t="shared" si="9"/>
        <v>10</v>
      </c>
      <c r="L59" s="125">
        <f t="shared" si="10"/>
        <v>76.14</v>
      </c>
      <c r="M59" s="125"/>
      <c r="N59" s="125"/>
      <c r="O59" s="125"/>
    </row>
    <row r="60" spans="1:66" s="95" customFormat="1" ht="36" customHeight="1">
      <c r="A60" s="125">
        <v>11</v>
      </c>
      <c r="B60" s="126" t="s">
        <v>349</v>
      </c>
      <c r="C60" s="125" t="s">
        <v>350</v>
      </c>
      <c r="D60" s="125"/>
      <c r="E60" s="125" t="s">
        <v>307</v>
      </c>
      <c r="F60" s="125">
        <v>0.95199999999999996</v>
      </c>
      <c r="G60" s="176"/>
      <c r="H60" s="125">
        <f t="shared" si="8"/>
        <v>0</v>
      </c>
      <c r="I60" s="125">
        <f>VLOOKUP(C60,'NHẬP KHO '!C:U,18,0)</f>
        <v>0</v>
      </c>
      <c r="J60" s="206">
        <f>VLOOKUP(C60,'XUẤT KHO'!C:Z,23,0)</f>
        <v>0</v>
      </c>
      <c r="K60" s="175">
        <f t="shared" si="9"/>
        <v>0</v>
      </c>
      <c r="L60" s="125">
        <f t="shared" si="10"/>
        <v>0</v>
      </c>
      <c r="M60" s="125"/>
      <c r="N60" s="125"/>
      <c r="O60" s="125"/>
    </row>
    <row r="61" spans="1:66" s="95" customFormat="1" ht="36" customHeight="1">
      <c r="A61" s="125">
        <v>12</v>
      </c>
      <c r="B61" s="126" t="s">
        <v>142</v>
      </c>
      <c r="C61" s="125" t="s">
        <v>348</v>
      </c>
      <c r="D61" s="125"/>
      <c r="E61" s="125" t="s">
        <v>307</v>
      </c>
      <c r="F61" s="125">
        <v>0.66800000000000004</v>
      </c>
      <c r="G61" s="176">
        <v>9</v>
      </c>
      <c r="H61" s="125">
        <f t="shared" si="8"/>
        <v>36.072000000000003</v>
      </c>
      <c r="I61" s="125">
        <f>VLOOKUP(C61,'NHẬP KHO '!C:U,18,0)</f>
        <v>0</v>
      </c>
      <c r="J61" s="206">
        <f>VLOOKUP(C61,'XUẤT KHO'!C:Z,23,0)</f>
        <v>0</v>
      </c>
      <c r="K61" s="175">
        <f t="shared" si="9"/>
        <v>9</v>
      </c>
      <c r="L61" s="125">
        <f t="shared" si="10"/>
        <v>36.072000000000003</v>
      </c>
      <c r="M61" s="125"/>
      <c r="N61" s="125"/>
      <c r="O61" s="125"/>
    </row>
    <row r="62" spans="1:66" ht="36.75" customHeight="1">
      <c r="A62" s="201" t="s">
        <v>306</v>
      </c>
      <c r="B62" s="28" t="s">
        <v>399</v>
      </c>
      <c r="C62" s="28"/>
      <c r="D62" s="28"/>
      <c r="E62" s="201" t="s">
        <v>307</v>
      </c>
      <c r="F62" s="201"/>
      <c r="G62" s="217">
        <f t="shared" ref="G62:L62" si="11">SUM(G63:G70)</f>
        <v>0</v>
      </c>
      <c r="H62" s="217">
        <f t="shared" si="11"/>
        <v>0</v>
      </c>
      <c r="I62" s="217">
        <f t="shared" si="11"/>
        <v>0</v>
      </c>
      <c r="J62" s="232">
        <f>SUM(J63:J70)</f>
        <v>0</v>
      </c>
      <c r="K62" s="198">
        <f t="shared" si="11"/>
        <v>0</v>
      </c>
      <c r="L62" s="217">
        <f t="shared" si="11"/>
        <v>0</v>
      </c>
      <c r="M62" s="217"/>
      <c r="N62" s="217">
        <f>SUM(N63:N70)</f>
        <v>0</v>
      </c>
      <c r="O62" s="217">
        <f>SUM(O63:O70)</f>
        <v>0</v>
      </c>
    </row>
    <row r="63" spans="1:66" s="46" customFormat="1" ht="36.75" customHeight="1">
      <c r="A63" s="125">
        <v>1</v>
      </c>
      <c r="B63" s="126" t="s">
        <v>408</v>
      </c>
      <c r="C63" s="125" t="s">
        <v>400</v>
      </c>
      <c r="D63" s="125"/>
      <c r="E63" s="125" t="s">
        <v>307</v>
      </c>
      <c r="F63" s="147">
        <v>2.125</v>
      </c>
      <c r="G63" s="176"/>
      <c r="H63" s="125">
        <f t="shared" ref="H63:H70" si="12">F63*G63*6</f>
        <v>0</v>
      </c>
      <c r="I63" s="125">
        <f>VLOOKUP(C63,'NHẬP KHO '!C:U,18,0)</f>
        <v>0</v>
      </c>
      <c r="J63" s="206">
        <f>VLOOKUP(C63,'XUẤT KHO'!C:Z,23,0)</f>
        <v>0</v>
      </c>
      <c r="K63" s="175">
        <f t="shared" ref="K63:K70" si="13">G63+I63-J63</f>
        <v>0</v>
      </c>
      <c r="L63" s="125">
        <f t="shared" ref="L63:L70" si="14">F63*K63*6</f>
        <v>0</v>
      </c>
      <c r="M63" s="125"/>
      <c r="N63" s="125"/>
      <c r="O63" s="125"/>
    </row>
    <row r="64" spans="1:66" s="46" customFormat="1" ht="36.75" customHeight="1">
      <c r="A64" s="125">
        <v>2</v>
      </c>
      <c r="B64" s="126" t="s">
        <v>409</v>
      </c>
      <c r="C64" s="125" t="s">
        <v>401</v>
      </c>
      <c r="D64" s="125"/>
      <c r="E64" s="125" t="s">
        <v>307</v>
      </c>
      <c r="F64" s="147">
        <v>2.0739999999999998</v>
      </c>
      <c r="G64" s="176"/>
      <c r="H64" s="125">
        <f t="shared" si="12"/>
        <v>0</v>
      </c>
      <c r="I64" s="125">
        <f>VLOOKUP(C64,'NHẬP KHO '!C:U,18,0)</f>
        <v>0</v>
      </c>
      <c r="J64" s="206">
        <f>VLOOKUP(C64,'XUẤT KHO'!C:Z,23,0)</f>
        <v>0</v>
      </c>
      <c r="K64" s="175">
        <f t="shared" si="13"/>
        <v>0</v>
      </c>
      <c r="L64" s="125">
        <f t="shared" si="14"/>
        <v>0</v>
      </c>
      <c r="M64" s="125"/>
      <c r="N64" s="125"/>
      <c r="O64" s="125"/>
    </row>
    <row r="65" spans="1:15" s="46" customFormat="1" ht="36.75" customHeight="1">
      <c r="A65" s="125">
        <v>3</v>
      </c>
      <c r="B65" s="126" t="s">
        <v>410</v>
      </c>
      <c r="C65" s="125" t="s">
        <v>402</v>
      </c>
      <c r="D65" s="125"/>
      <c r="E65" s="125" t="s">
        <v>307</v>
      </c>
      <c r="F65" s="147">
        <v>0.89600000000000002</v>
      </c>
      <c r="G65" s="176"/>
      <c r="H65" s="125">
        <f t="shared" si="12"/>
        <v>0</v>
      </c>
      <c r="I65" s="125">
        <f>VLOOKUP(C65,'NHẬP KHO '!C:U,18,0)</f>
        <v>0</v>
      </c>
      <c r="J65" s="206">
        <f>VLOOKUP(C65,'XUẤT KHO'!C:Z,23,0)</f>
        <v>0</v>
      </c>
      <c r="K65" s="175">
        <f t="shared" si="13"/>
        <v>0</v>
      </c>
      <c r="L65" s="125">
        <f t="shared" si="14"/>
        <v>0</v>
      </c>
      <c r="M65" s="125"/>
      <c r="N65" s="125"/>
      <c r="O65" s="125"/>
    </row>
    <row r="66" spans="1:15" s="46" customFormat="1" ht="36.75" customHeight="1">
      <c r="A66" s="125">
        <v>4</v>
      </c>
      <c r="B66" s="126" t="s">
        <v>411</v>
      </c>
      <c r="C66" s="125" t="s">
        <v>403</v>
      </c>
      <c r="D66" s="125"/>
      <c r="E66" s="125" t="s">
        <v>307</v>
      </c>
      <c r="F66" s="147">
        <v>1.1499999999999999</v>
      </c>
      <c r="G66" s="176"/>
      <c r="H66" s="125">
        <f t="shared" si="12"/>
        <v>0</v>
      </c>
      <c r="I66" s="125">
        <f>VLOOKUP(C66,'NHẬP KHO '!C:U,18,0)</f>
        <v>0</v>
      </c>
      <c r="J66" s="206">
        <f>VLOOKUP(C66,'XUẤT KHO'!C:Z,23,0)</f>
        <v>0</v>
      </c>
      <c r="K66" s="175">
        <f t="shared" si="13"/>
        <v>0</v>
      </c>
      <c r="L66" s="125">
        <f t="shared" si="14"/>
        <v>0</v>
      </c>
      <c r="M66" s="125"/>
      <c r="N66" s="125"/>
      <c r="O66" s="125"/>
    </row>
    <row r="67" spans="1:15" s="46" customFormat="1" ht="36.75" customHeight="1">
      <c r="A67" s="125">
        <v>5</v>
      </c>
      <c r="B67" s="126" t="s">
        <v>412</v>
      </c>
      <c r="C67" s="125" t="s">
        <v>404</v>
      </c>
      <c r="D67" s="125"/>
      <c r="E67" s="125" t="s">
        <v>307</v>
      </c>
      <c r="F67" s="147">
        <v>0.372</v>
      </c>
      <c r="G67" s="176"/>
      <c r="H67" s="125">
        <f t="shared" si="12"/>
        <v>0</v>
      </c>
      <c r="I67" s="125">
        <f>VLOOKUP(C67,'NHẬP KHO '!C:U,18,0)</f>
        <v>0</v>
      </c>
      <c r="J67" s="206">
        <f>VLOOKUP(C67,'XUẤT KHO'!C:Z,23,0)</f>
        <v>0</v>
      </c>
      <c r="K67" s="175">
        <f t="shared" si="13"/>
        <v>0</v>
      </c>
      <c r="L67" s="125">
        <f t="shared" si="14"/>
        <v>0</v>
      </c>
      <c r="M67" s="125"/>
      <c r="N67" s="125"/>
      <c r="O67" s="125"/>
    </row>
    <row r="68" spans="1:15" s="46" customFormat="1" ht="36.75" customHeight="1">
      <c r="A68" s="125">
        <v>6</v>
      </c>
      <c r="B68" s="126" t="s">
        <v>413</v>
      </c>
      <c r="C68" s="125" t="s">
        <v>405</v>
      </c>
      <c r="D68" s="125"/>
      <c r="E68" s="125" t="s">
        <v>307</v>
      </c>
      <c r="F68" s="147">
        <v>0.3</v>
      </c>
      <c r="G68" s="176"/>
      <c r="H68" s="125">
        <f t="shared" si="12"/>
        <v>0</v>
      </c>
      <c r="I68" s="125">
        <f>VLOOKUP(C68,'NHẬP KHO '!C:U,18,0)</f>
        <v>0</v>
      </c>
      <c r="J68" s="206">
        <f>VLOOKUP(C68,'XUẤT KHO'!C:Z,23,0)</f>
        <v>0</v>
      </c>
      <c r="K68" s="175">
        <f t="shared" si="13"/>
        <v>0</v>
      </c>
      <c r="L68" s="125">
        <f t="shared" si="14"/>
        <v>0</v>
      </c>
      <c r="M68" s="125"/>
      <c r="N68" s="125"/>
      <c r="O68" s="125"/>
    </row>
    <row r="69" spans="1:15" s="46" customFormat="1" ht="36.75" customHeight="1">
      <c r="A69" s="125">
        <v>7</v>
      </c>
      <c r="B69" s="126" t="s">
        <v>287</v>
      </c>
      <c r="C69" s="125" t="s">
        <v>406</v>
      </c>
      <c r="D69" s="125"/>
      <c r="E69" s="125" t="s">
        <v>307</v>
      </c>
      <c r="F69" s="147">
        <v>0.192</v>
      </c>
      <c r="G69" s="176"/>
      <c r="H69" s="125">
        <f t="shared" si="12"/>
        <v>0</v>
      </c>
      <c r="I69" s="125">
        <f>VLOOKUP(C69,'NHẬP KHO '!C:U,18,0)</f>
        <v>0</v>
      </c>
      <c r="J69" s="206">
        <f>VLOOKUP(C69,'XUẤT KHO'!C:Z,23,0)</f>
        <v>0</v>
      </c>
      <c r="K69" s="175">
        <f t="shared" si="13"/>
        <v>0</v>
      </c>
      <c r="L69" s="125">
        <f t="shared" si="14"/>
        <v>0</v>
      </c>
      <c r="M69" s="125"/>
      <c r="N69" s="125"/>
      <c r="O69" s="125"/>
    </row>
    <row r="70" spans="1:15" s="46" customFormat="1" ht="36.75" customHeight="1">
      <c r="A70" s="125">
        <v>8</v>
      </c>
      <c r="B70" s="126" t="s">
        <v>414</v>
      </c>
      <c r="C70" s="125" t="s">
        <v>407</v>
      </c>
      <c r="D70" s="125"/>
      <c r="E70" s="125" t="s">
        <v>307</v>
      </c>
      <c r="F70" s="147">
        <v>1.46</v>
      </c>
      <c r="G70" s="176"/>
      <c r="H70" s="125">
        <f t="shared" si="12"/>
        <v>0</v>
      </c>
      <c r="I70" s="125">
        <f>VLOOKUP(C70,'NHẬP KHO '!C:U,18,0)</f>
        <v>0</v>
      </c>
      <c r="J70" s="206">
        <f>VLOOKUP(C70,'XUẤT KHO'!C:Z,23,0)</f>
        <v>0</v>
      </c>
      <c r="K70" s="175">
        <f t="shared" si="13"/>
        <v>0</v>
      </c>
      <c r="L70" s="125">
        <f t="shared" si="14"/>
        <v>0</v>
      </c>
      <c r="M70" s="125"/>
      <c r="N70" s="125"/>
      <c r="O70" s="125"/>
    </row>
    <row r="71" spans="1:15" ht="36.75" customHeight="1">
      <c r="A71" s="201" t="s">
        <v>306</v>
      </c>
      <c r="B71" s="28" t="s">
        <v>119</v>
      </c>
      <c r="C71" s="28"/>
      <c r="D71" s="28"/>
      <c r="E71" s="201" t="s">
        <v>307</v>
      </c>
      <c r="F71" s="201"/>
      <c r="G71" s="217">
        <f t="shared" ref="G71:L71" si="15">SUM(G72:G95)</f>
        <v>97</v>
      </c>
      <c r="H71" s="217">
        <f t="shared" si="15"/>
        <v>676.29600000000005</v>
      </c>
      <c r="I71" s="217">
        <f t="shared" si="15"/>
        <v>48</v>
      </c>
      <c r="J71" s="232">
        <f>SUM(J72:J95)</f>
        <v>40</v>
      </c>
      <c r="K71" s="198">
        <f t="shared" si="15"/>
        <v>105</v>
      </c>
      <c r="L71" s="217">
        <f t="shared" si="15"/>
        <v>702.21600000000012</v>
      </c>
      <c r="M71" s="217"/>
      <c r="N71" s="217">
        <f>SUM(N72:N95)</f>
        <v>0</v>
      </c>
      <c r="O71" s="217">
        <f>SUM(O72:O95)</f>
        <v>0</v>
      </c>
    </row>
    <row r="72" spans="1:15" s="46" customFormat="1" ht="36.75" customHeight="1">
      <c r="A72" s="125">
        <v>1</v>
      </c>
      <c r="B72" s="126" t="s">
        <v>351</v>
      </c>
      <c r="C72" s="125" t="s">
        <v>352</v>
      </c>
      <c r="D72" s="125"/>
      <c r="E72" s="125" t="s">
        <v>307</v>
      </c>
      <c r="F72" s="147">
        <v>2</v>
      </c>
      <c r="G72" s="176">
        <v>3</v>
      </c>
      <c r="H72" s="125">
        <f t="shared" ref="H72:H95" si="16">F72*G72*6</f>
        <v>36</v>
      </c>
      <c r="I72" s="125">
        <f>VLOOKUP(C72,'NHẬP KHO '!C:U,18,0)</f>
        <v>12</v>
      </c>
      <c r="J72" s="206">
        <f>VLOOKUP(C72,'XUẤT KHO'!C:Z,23,0)</f>
        <v>11</v>
      </c>
      <c r="K72" s="175">
        <f t="shared" ref="K72:K95" si="17">G72+I72-J72</f>
        <v>4</v>
      </c>
      <c r="L72" s="125">
        <f t="shared" ref="L72:L95" si="18">F72*K72*6</f>
        <v>48</v>
      </c>
      <c r="M72" s="125"/>
      <c r="N72" s="125"/>
      <c r="O72" s="125"/>
    </row>
    <row r="73" spans="1:15" s="46" customFormat="1" ht="36.75" customHeight="1">
      <c r="A73" s="125">
        <v>2</v>
      </c>
      <c r="B73" s="126" t="s">
        <v>353</v>
      </c>
      <c r="C73" s="125" t="s">
        <v>354</v>
      </c>
      <c r="D73" s="125"/>
      <c r="E73" s="125" t="s">
        <v>307</v>
      </c>
      <c r="F73" s="147">
        <v>1.51</v>
      </c>
      <c r="G73" s="176"/>
      <c r="H73" s="125">
        <f t="shared" si="16"/>
        <v>0</v>
      </c>
      <c r="I73" s="125">
        <f>VLOOKUP(C73,'NHẬP KHO '!C:U,18,0)</f>
        <v>0</v>
      </c>
      <c r="J73" s="206">
        <f>VLOOKUP(C73,'XUẤT KHO'!C:Z,23,0)</f>
        <v>0</v>
      </c>
      <c r="K73" s="175">
        <f t="shared" si="17"/>
        <v>0</v>
      </c>
      <c r="L73" s="125">
        <f t="shared" si="18"/>
        <v>0</v>
      </c>
      <c r="M73" s="125"/>
      <c r="N73" s="125"/>
      <c r="O73" s="125"/>
    </row>
    <row r="74" spans="1:15" s="46" customFormat="1" ht="36.75" customHeight="1">
      <c r="A74" s="125">
        <v>3</v>
      </c>
      <c r="B74" s="126" t="s">
        <v>44</v>
      </c>
      <c r="C74" s="125" t="s">
        <v>355</v>
      </c>
      <c r="D74" s="125"/>
      <c r="E74" s="125" t="s">
        <v>307</v>
      </c>
      <c r="F74" s="147">
        <v>0.86</v>
      </c>
      <c r="G74" s="176">
        <v>10</v>
      </c>
      <c r="H74" s="125">
        <f t="shared" si="16"/>
        <v>51.599999999999994</v>
      </c>
      <c r="I74" s="125">
        <f>VLOOKUP(C74,'NHẬP KHO '!C:U,18,0)</f>
        <v>4</v>
      </c>
      <c r="J74" s="206">
        <f>VLOOKUP(C74,'XUẤT KHO'!C:Z,23,0)</f>
        <v>3</v>
      </c>
      <c r="K74" s="175">
        <f t="shared" si="17"/>
        <v>11</v>
      </c>
      <c r="L74" s="125">
        <f t="shared" si="18"/>
        <v>56.759999999999991</v>
      </c>
      <c r="M74" s="125"/>
      <c r="N74" s="125"/>
      <c r="O74" s="125"/>
    </row>
    <row r="75" spans="1:15" s="46" customFormat="1" ht="36.75" customHeight="1">
      <c r="A75" s="125">
        <v>4</v>
      </c>
      <c r="B75" s="126" t="s">
        <v>359</v>
      </c>
      <c r="C75" s="125" t="s">
        <v>357</v>
      </c>
      <c r="D75" s="125"/>
      <c r="E75" s="125" t="s">
        <v>307</v>
      </c>
      <c r="F75" s="147">
        <v>1.36</v>
      </c>
      <c r="G75" s="176">
        <v>8</v>
      </c>
      <c r="H75" s="125">
        <f t="shared" si="16"/>
        <v>65.28</v>
      </c>
      <c r="I75" s="125">
        <f>VLOOKUP(C75,'NHẬP KHO '!C:U,18,0)</f>
        <v>4</v>
      </c>
      <c r="J75" s="206">
        <f>VLOOKUP(C75,'XUẤT KHO'!C:Z,23,0)</f>
        <v>3</v>
      </c>
      <c r="K75" s="175">
        <f t="shared" si="17"/>
        <v>9</v>
      </c>
      <c r="L75" s="125">
        <f t="shared" si="18"/>
        <v>73.44</v>
      </c>
      <c r="M75" s="125"/>
      <c r="N75" s="125"/>
      <c r="O75" s="125"/>
    </row>
    <row r="76" spans="1:15" s="46" customFormat="1" ht="36.75" customHeight="1">
      <c r="A76" s="125">
        <v>5</v>
      </c>
      <c r="B76" s="126" t="s">
        <v>356</v>
      </c>
      <c r="C76" s="125" t="s">
        <v>358</v>
      </c>
      <c r="D76" s="125"/>
      <c r="E76" s="125" t="s">
        <v>307</v>
      </c>
      <c r="F76" s="147">
        <v>1.3</v>
      </c>
      <c r="G76" s="176">
        <v>9</v>
      </c>
      <c r="H76" s="125">
        <f t="shared" si="16"/>
        <v>70.2</v>
      </c>
      <c r="I76" s="125">
        <f>VLOOKUP(C76,'NHẬP KHO '!C:U,18,0)</f>
        <v>4</v>
      </c>
      <c r="J76" s="206">
        <f>VLOOKUP(C76,'XUẤT KHO'!C:Z,23,0)</f>
        <v>3</v>
      </c>
      <c r="K76" s="175">
        <f t="shared" si="17"/>
        <v>10</v>
      </c>
      <c r="L76" s="125">
        <f t="shared" si="18"/>
        <v>78</v>
      </c>
      <c r="M76" s="125"/>
      <c r="N76" s="125"/>
      <c r="O76" s="125"/>
    </row>
    <row r="77" spans="1:15" s="46" customFormat="1" ht="36.75" customHeight="1">
      <c r="A77" s="125">
        <v>6</v>
      </c>
      <c r="B77" s="126" t="s">
        <v>8</v>
      </c>
      <c r="C77" s="125" t="s">
        <v>360</v>
      </c>
      <c r="D77" s="125"/>
      <c r="E77" s="125" t="s">
        <v>307</v>
      </c>
      <c r="F77" s="147">
        <v>2.02</v>
      </c>
      <c r="G77" s="176">
        <v>17</v>
      </c>
      <c r="H77" s="125">
        <f t="shared" si="16"/>
        <v>206.04000000000002</v>
      </c>
      <c r="I77" s="125">
        <f>VLOOKUP(C77,'NHẬP KHO '!C:U,18,0)</f>
        <v>12</v>
      </c>
      <c r="J77" s="206">
        <f>VLOOKUP(C77,'XUẤT KHO'!C:Z,23,0)</f>
        <v>13</v>
      </c>
      <c r="K77" s="175">
        <f t="shared" si="17"/>
        <v>16</v>
      </c>
      <c r="L77" s="125">
        <f t="shared" si="18"/>
        <v>193.92000000000002</v>
      </c>
      <c r="M77" s="125"/>
      <c r="N77" s="125"/>
      <c r="O77" s="125"/>
    </row>
    <row r="78" spans="1:15" s="46" customFormat="1" ht="36.75" customHeight="1">
      <c r="A78" s="125">
        <v>7</v>
      </c>
      <c r="B78" s="126" t="s">
        <v>42</v>
      </c>
      <c r="C78" s="125" t="s">
        <v>361</v>
      </c>
      <c r="D78" s="125"/>
      <c r="E78" s="125" t="s">
        <v>307</v>
      </c>
      <c r="F78" s="147">
        <v>0.47</v>
      </c>
      <c r="G78" s="176">
        <v>19</v>
      </c>
      <c r="H78" s="125">
        <f t="shared" si="16"/>
        <v>53.58</v>
      </c>
      <c r="I78" s="125">
        <f>VLOOKUP(C78,'NHẬP KHO '!C:U,18,0)</f>
        <v>12</v>
      </c>
      <c r="J78" s="206">
        <f>VLOOKUP(C78,'XUẤT KHO'!C:Z,23,0)</f>
        <v>5</v>
      </c>
      <c r="K78" s="175">
        <f t="shared" si="17"/>
        <v>26</v>
      </c>
      <c r="L78" s="125">
        <f t="shared" si="18"/>
        <v>73.319999999999993</v>
      </c>
      <c r="M78" s="125"/>
      <c r="N78" s="125"/>
      <c r="O78" s="125"/>
    </row>
    <row r="79" spans="1:15" s="46" customFormat="1" ht="36.75" customHeight="1">
      <c r="A79" s="125">
        <v>8</v>
      </c>
      <c r="B79" s="126" t="s">
        <v>362</v>
      </c>
      <c r="C79" s="125" t="s">
        <v>363</v>
      </c>
      <c r="D79" s="125"/>
      <c r="E79" s="125" t="s">
        <v>307</v>
      </c>
      <c r="F79" s="147">
        <v>0.47599999999999998</v>
      </c>
      <c r="G79" s="176">
        <v>6</v>
      </c>
      <c r="H79" s="125">
        <f t="shared" si="16"/>
        <v>17.135999999999999</v>
      </c>
      <c r="I79" s="125">
        <f>VLOOKUP(C79,'NHẬP KHO '!C:U,18,0)</f>
        <v>0</v>
      </c>
      <c r="J79" s="206">
        <f>VLOOKUP(C79,'XUẤT KHO'!C:Z,23,0)</f>
        <v>0</v>
      </c>
      <c r="K79" s="175">
        <f t="shared" si="17"/>
        <v>6</v>
      </c>
      <c r="L79" s="125">
        <f t="shared" si="18"/>
        <v>17.135999999999999</v>
      </c>
      <c r="M79" s="125"/>
      <c r="N79" s="125"/>
      <c r="O79" s="125"/>
    </row>
    <row r="80" spans="1:15" s="46" customFormat="1" ht="36.75" customHeight="1">
      <c r="A80" s="125">
        <v>9</v>
      </c>
      <c r="B80" s="126" t="s">
        <v>364</v>
      </c>
      <c r="C80" s="125" t="s">
        <v>365</v>
      </c>
      <c r="D80" s="125"/>
      <c r="E80" s="125" t="s">
        <v>307</v>
      </c>
      <c r="F80" s="147">
        <v>1.48</v>
      </c>
      <c r="G80" s="176">
        <v>4</v>
      </c>
      <c r="H80" s="125">
        <f t="shared" si="16"/>
        <v>35.519999999999996</v>
      </c>
      <c r="I80" s="125">
        <f>VLOOKUP(C80,'NHẬP KHO '!C:U,18,0)</f>
        <v>0</v>
      </c>
      <c r="J80" s="206">
        <f>VLOOKUP(C80,'XUẤT KHO'!C:Z,23,0)</f>
        <v>1</v>
      </c>
      <c r="K80" s="175">
        <f t="shared" si="17"/>
        <v>3</v>
      </c>
      <c r="L80" s="125">
        <f t="shared" si="18"/>
        <v>26.639999999999997</v>
      </c>
      <c r="M80" s="125"/>
      <c r="N80" s="125"/>
      <c r="O80" s="125"/>
    </row>
    <row r="81" spans="1:15" s="46" customFormat="1" ht="36.75" customHeight="1">
      <c r="A81" s="125">
        <v>10</v>
      </c>
      <c r="B81" s="126" t="s">
        <v>367</v>
      </c>
      <c r="C81" s="125" t="s">
        <v>366</v>
      </c>
      <c r="D81" s="125"/>
      <c r="E81" s="125" t="s">
        <v>307</v>
      </c>
      <c r="F81" s="147">
        <v>0.99</v>
      </c>
      <c r="G81" s="176">
        <v>4</v>
      </c>
      <c r="H81" s="125">
        <f t="shared" si="16"/>
        <v>23.759999999999998</v>
      </c>
      <c r="I81" s="125">
        <f>VLOOKUP(C81,'NHẬP KHO '!C:U,18,0)</f>
        <v>0</v>
      </c>
      <c r="J81" s="206">
        <f>VLOOKUP(C81,'XUẤT KHO'!C:Z,23,0)</f>
        <v>1</v>
      </c>
      <c r="K81" s="175">
        <f t="shared" si="17"/>
        <v>3</v>
      </c>
      <c r="L81" s="125">
        <f t="shared" si="18"/>
        <v>17.82</v>
      </c>
      <c r="M81" s="125"/>
      <c r="N81" s="125"/>
      <c r="O81" s="125"/>
    </row>
    <row r="82" spans="1:15" s="46" customFormat="1" ht="36.75" customHeight="1">
      <c r="A82" s="125">
        <v>11</v>
      </c>
      <c r="B82" s="126" t="s">
        <v>370</v>
      </c>
      <c r="C82" s="125" t="s">
        <v>369</v>
      </c>
      <c r="D82" s="125"/>
      <c r="E82" s="125" t="s">
        <v>307</v>
      </c>
      <c r="F82" s="147">
        <v>0.31</v>
      </c>
      <c r="G82" s="176"/>
      <c r="H82" s="125">
        <f t="shared" si="16"/>
        <v>0</v>
      </c>
      <c r="I82" s="125">
        <f>VLOOKUP(C82,'NHẬP KHO '!C:U,18,0)</f>
        <v>0</v>
      </c>
      <c r="J82" s="206">
        <f>VLOOKUP(C82,'XUẤT KHO'!C:Z,23,0)</f>
        <v>0</v>
      </c>
      <c r="K82" s="175">
        <f t="shared" si="17"/>
        <v>0</v>
      </c>
      <c r="L82" s="125">
        <f t="shared" si="18"/>
        <v>0</v>
      </c>
      <c r="M82" s="125"/>
      <c r="N82" s="125"/>
      <c r="O82" s="125"/>
    </row>
    <row r="83" spans="1:15" s="46" customFormat="1" ht="36.75" customHeight="1">
      <c r="A83" s="125">
        <v>12</v>
      </c>
      <c r="B83" s="126" t="s">
        <v>372</v>
      </c>
      <c r="C83" s="125" t="s">
        <v>368</v>
      </c>
      <c r="D83" s="125"/>
      <c r="E83" s="125" t="s">
        <v>307</v>
      </c>
      <c r="F83" s="147">
        <v>0.27800000000000002</v>
      </c>
      <c r="G83" s="176"/>
      <c r="H83" s="125">
        <f t="shared" si="16"/>
        <v>0</v>
      </c>
      <c r="I83" s="125">
        <f>VLOOKUP(C83,'NHẬP KHO '!C:U,18,0)</f>
        <v>0</v>
      </c>
      <c r="J83" s="206">
        <f>VLOOKUP(C83,'XUẤT KHO'!C:Z,23,0)</f>
        <v>0</v>
      </c>
      <c r="K83" s="175">
        <f t="shared" si="17"/>
        <v>0</v>
      </c>
      <c r="L83" s="125">
        <f t="shared" si="18"/>
        <v>0</v>
      </c>
      <c r="M83" s="125"/>
      <c r="N83" s="125"/>
      <c r="O83" s="125"/>
    </row>
    <row r="84" spans="1:15" s="46" customFormat="1" ht="36.75" customHeight="1">
      <c r="A84" s="125">
        <v>13</v>
      </c>
      <c r="B84" s="126" t="s">
        <v>373</v>
      </c>
      <c r="C84" s="125" t="s">
        <v>371</v>
      </c>
      <c r="D84" s="125"/>
      <c r="E84" s="125" t="s">
        <v>307</v>
      </c>
      <c r="F84" s="147">
        <v>0.33700000000000002</v>
      </c>
      <c r="G84" s="176"/>
      <c r="H84" s="125">
        <f t="shared" si="16"/>
        <v>0</v>
      </c>
      <c r="I84" s="125">
        <f>VLOOKUP(C84,'NHẬP KHO '!C:U,18,0)</f>
        <v>0</v>
      </c>
      <c r="J84" s="206">
        <f>VLOOKUP(C84,'XUẤT KHO'!C:Z,23,0)</f>
        <v>0</v>
      </c>
      <c r="K84" s="175">
        <f t="shared" si="17"/>
        <v>0</v>
      </c>
      <c r="L84" s="125">
        <f t="shared" si="18"/>
        <v>0</v>
      </c>
      <c r="M84" s="125"/>
      <c r="N84" s="125"/>
      <c r="O84" s="125"/>
    </row>
    <row r="85" spans="1:15" s="46" customFormat="1" ht="36.75" customHeight="1">
      <c r="A85" s="125">
        <v>14</v>
      </c>
      <c r="B85" s="126" t="s">
        <v>374</v>
      </c>
      <c r="C85" s="125" t="s">
        <v>375</v>
      </c>
      <c r="D85" s="125"/>
      <c r="E85" s="125" t="s">
        <v>307</v>
      </c>
      <c r="F85" s="147">
        <v>2.85</v>
      </c>
      <c r="G85" s="176">
        <v>4</v>
      </c>
      <c r="H85" s="125">
        <f t="shared" si="16"/>
        <v>68.400000000000006</v>
      </c>
      <c r="I85" s="125">
        <f>VLOOKUP(C85,'NHẬP KHO '!C:U,18,0)</f>
        <v>0</v>
      </c>
      <c r="J85" s="206">
        <f>VLOOKUP(C85,'XUẤT KHO'!C:Z,23,0)</f>
        <v>0</v>
      </c>
      <c r="K85" s="175">
        <f t="shared" si="17"/>
        <v>4</v>
      </c>
      <c r="L85" s="125">
        <f t="shared" si="18"/>
        <v>68.400000000000006</v>
      </c>
      <c r="M85" s="125"/>
      <c r="N85" s="125"/>
      <c r="O85" s="125"/>
    </row>
    <row r="86" spans="1:15" s="46" customFormat="1" ht="36.75" customHeight="1">
      <c r="A86" s="125">
        <v>15</v>
      </c>
      <c r="B86" s="126" t="s">
        <v>376</v>
      </c>
      <c r="C86" s="125" t="s">
        <v>377</v>
      </c>
      <c r="D86" s="125"/>
      <c r="E86" s="125" t="s">
        <v>307</v>
      </c>
      <c r="F86" s="147">
        <v>2.21</v>
      </c>
      <c r="G86" s="176"/>
      <c r="H86" s="125">
        <f t="shared" si="16"/>
        <v>0</v>
      </c>
      <c r="I86" s="125">
        <f>VLOOKUP(C86,'NHẬP KHO '!C:U,18,0)</f>
        <v>0</v>
      </c>
      <c r="J86" s="206">
        <f>VLOOKUP(C86,'XUẤT KHO'!C:Z,23,0)</f>
        <v>0</v>
      </c>
      <c r="K86" s="175">
        <f t="shared" si="17"/>
        <v>0</v>
      </c>
      <c r="L86" s="125">
        <f t="shared" si="18"/>
        <v>0</v>
      </c>
      <c r="M86" s="125"/>
      <c r="N86" s="125"/>
      <c r="O86" s="125"/>
    </row>
    <row r="87" spans="1:15" s="46" customFormat="1" ht="36.75" customHeight="1">
      <c r="A87" s="125">
        <v>16</v>
      </c>
      <c r="B87" s="126" t="s">
        <v>378</v>
      </c>
      <c r="C87" s="125" t="s">
        <v>379</v>
      </c>
      <c r="D87" s="125"/>
      <c r="E87" s="125" t="s">
        <v>307</v>
      </c>
      <c r="F87" s="147">
        <v>0.62</v>
      </c>
      <c r="G87" s="176">
        <v>2</v>
      </c>
      <c r="H87" s="125">
        <f t="shared" si="16"/>
        <v>7.4399999999999995</v>
      </c>
      <c r="I87" s="125">
        <f>VLOOKUP(C87,'NHẬP KHO '!C:U,18,0)</f>
        <v>0</v>
      </c>
      <c r="J87" s="206">
        <f>VLOOKUP(C87,'XUẤT KHO'!C:Z,23,0)</f>
        <v>0</v>
      </c>
      <c r="K87" s="175">
        <f t="shared" si="17"/>
        <v>2</v>
      </c>
      <c r="L87" s="125">
        <f t="shared" si="18"/>
        <v>7.4399999999999995</v>
      </c>
      <c r="M87" s="125"/>
      <c r="N87" s="125"/>
      <c r="O87" s="125"/>
    </row>
    <row r="88" spans="1:15" s="46" customFormat="1" ht="36.75" customHeight="1">
      <c r="A88" s="125">
        <v>17</v>
      </c>
      <c r="B88" s="126" t="s">
        <v>380</v>
      </c>
      <c r="C88" s="125" t="s">
        <v>381</v>
      </c>
      <c r="D88" s="125"/>
      <c r="E88" s="125" t="s">
        <v>307</v>
      </c>
      <c r="F88" s="147">
        <v>0.65</v>
      </c>
      <c r="G88" s="176"/>
      <c r="H88" s="125">
        <f t="shared" si="16"/>
        <v>0</v>
      </c>
      <c r="I88" s="125">
        <f>VLOOKUP(C88,'NHẬP KHO '!C:U,18,0)</f>
        <v>0</v>
      </c>
      <c r="J88" s="206">
        <f>VLOOKUP(C88,'XUẤT KHO'!C:Z,23,0)</f>
        <v>0</v>
      </c>
      <c r="K88" s="175">
        <f t="shared" si="17"/>
        <v>0</v>
      </c>
      <c r="L88" s="125">
        <f t="shared" si="18"/>
        <v>0</v>
      </c>
      <c r="M88" s="125"/>
      <c r="N88" s="125"/>
      <c r="O88" s="125"/>
    </row>
    <row r="89" spans="1:15" s="46" customFormat="1" ht="36.75" customHeight="1">
      <c r="A89" s="125">
        <v>18</v>
      </c>
      <c r="B89" s="126" t="s">
        <v>382</v>
      </c>
      <c r="C89" s="125" t="s">
        <v>383</v>
      </c>
      <c r="D89" s="125"/>
      <c r="E89" s="125" t="s">
        <v>307</v>
      </c>
      <c r="F89" s="147">
        <v>0.63</v>
      </c>
      <c r="G89" s="176">
        <v>7</v>
      </c>
      <c r="H89" s="125">
        <f t="shared" si="16"/>
        <v>26.46</v>
      </c>
      <c r="I89" s="125">
        <f>VLOOKUP(C89,'NHẬP KHO '!C:U,18,0)</f>
        <v>0</v>
      </c>
      <c r="J89" s="206">
        <f>VLOOKUP(C89,'XUẤT KHO'!C:Z,23,0)</f>
        <v>0</v>
      </c>
      <c r="K89" s="175">
        <f t="shared" si="17"/>
        <v>7</v>
      </c>
      <c r="L89" s="125">
        <f t="shared" si="18"/>
        <v>26.46</v>
      </c>
      <c r="M89" s="125"/>
      <c r="N89" s="125"/>
      <c r="O89" s="125"/>
    </row>
    <row r="90" spans="1:15" s="46" customFormat="1" ht="36.75" customHeight="1">
      <c r="A90" s="125">
        <v>19</v>
      </c>
      <c r="B90" s="126" t="s">
        <v>384</v>
      </c>
      <c r="C90" s="125" t="s">
        <v>385</v>
      </c>
      <c r="D90" s="125"/>
      <c r="E90" s="125" t="s">
        <v>307</v>
      </c>
      <c r="F90" s="147">
        <v>0.63</v>
      </c>
      <c r="G90" s="176"/>
      <c r="H90" s="125">
        <f t="shared" si="16"/>
        <v>0</v>
      </c>
      <c r="I90" s="125">
        <f>VLOOKUP(C90,'NHẬP KHO '!C:U,18,0)</f>
        <v>0</v>
      </c>
      <c r="J90" s="206">
        <f>VLOOKUP(C90,'XUẤT KHO'!C:Z,23,0)</f>
        <v>0</v>
      </c>
      <c r="K90" s="175">
        <f t="shared" si="17"/>
        <v>0</v>
      </c>
      <c r="L90" s="125">
        <f t="shared" si="18"/>
        <v>0</v>
      </c>
      <c r="M90" s="125"/>
      <c r="N90" s="220"/>
      <c r="O90" s="220"/>
    </row>
    <row r="91" spans="1:15" s="46" customFormat="1" ht="36.75" customHeight="1">
      <c r="A91" s="125">
        <v>20</v>
      </c>
      <c r="B91" s="126" t="s">
        <v>380</v>
      </c>
      <c r="C91" s="125" t="s">
        <v>386</v>
      </c>
      <c r="D91" s="125"/>
      <c r="E91" s="125" t="s">
        <v>307</v>
      </c>
      <c r="F91" s="147">
        <v>0.62</v>
      </c>
      <c r="G91" s="176">
        <v>4</v>
      </c>
      <c r="H91" s="125">
        <f t="shared" si="16"/>
        <v>14.879999999999999</v>
      </c>
      <c r="I91" s="125">
        <f>VLOOKUP(C91,'NHẬP KHO '!C:U,18,0)</f>
        <v>0</v>
      </c>
      <c r="J91" s="206">
        <f>VLOOKUP(C91,'XUẤT KHO'!C:Z,23,0)</f>
        <v>0</v>
      </c>
      <c r="K91" s="175">
        <f t="shared" si="17"/>
        <v>4</v>
      </c>
      <c r="L91" s="125">
        <f t="shared" si="18"/>
        <v>14.879999999999999</v>
      </c>
      <c r="M91" s="125"/>
      <c r="N91" s="222" t="s">
        <v>460</v>
      </c>
      <c r="O91" s="125"/>
    </row>
    <row r="92" spans="1:15" s="46" customFormat="1" ht="36.75" customHeight="1">
      <c r="A92" s="125">
        <v>22</v>
      </c>
      <c r="B92" s="126" t="s">
        <v>387</v>
      </c>
      <c r="C92" s="125" t="s">
        <v>388</v>
      </c>
      <c r="D92" s="125"/>
      <c r="E92" s="125" t="s">
        <v>307</v>
      </c>
      <c r="F92" s="147">
        <v>0.77</v>
      </c>
      <c r="G92" s="176"/>
      <c r="H92" s="125">
        <f t="shared" si="16"/>
        <v>0</v>
      </c>
      <c r="I92" s="125">
        <f>VLOOKUP(C92,'NHẬP KHO '!C:U,18,0)</f>
        <v>0</v>
      </c>
      <c r="J92" s="206">
        <f>VLOOKUP(C92,'XUẤT KHO'!C:Z,23,0)</f>
        <v>0</v>
      </c>
      <c r="K92" s="175">
        <f t="shared" si="17"/>
        <v>0</v>
      </c>
      <c r="L92" s="125">
        <f t="shared" si="18"/>
        <v>0</v>
      </c>
      <c r="M92" s="125"/>
      <c r="N92" s="222"/>
      <c r="O92" s="125"/>
    </row>
    <row r="93" spans="1:15" s="46" customFormat="1" ht="36.75" customHeight="1">
      <c r="A93" s="125">
        <v>23</v>
      </c>
      <c r="B93" s="126" t="s">
        <v>389</v>
      </c>
      <c r="C93" s="125" t="s">
        <v>390</v>
      </c>
      <c r="D93" s="125"/>
      <c r="E93" s="125" t="s">
        <v>307</v>
      </c>
      <c r="F93" s="147">
        <v>0.1</v>
      </c>
      <c r="G93" s="176"/>
      <c r="H93" s="125">
        <f t="shared" si="16"/>
        <v>0</v>
      </c>
      <c r="I93" s="125">
        <f>VLOOKUP(C93,'NHẬP KHO '!C:U,18,0)</f>
        <v>0</v>
      </c>
      <c r="J93" s="206">
        <f>VLOOKUP(C93,'XUẤT KHO'!C:Z,23,0)</f>
        <v>0</v>
      </c>
      <c r="K93" s="175">
        <f t="shared" si="17"/>
        <v>0</v>
      </c>
      <c r="L93" s="125">
        <f t="shared" si="18"/>
        <v>0</v>
      </c>
      <c r="M93" s="125"/>
      <c r="N93" s="222"/>
      <c r="O93" s="125"/>
    </row>
    <row r="94" spans="1:15" s="46" customFormat="1" ht="36.75" customHeight="1">
      <c r="A94" s="125">
        <v>24</v>
      </c>
      <c r="B94" s="126" t="s">
        <v>391</v>
      </c>
      <c r="C94" s="125" t="s">
        <v>393</v>
      </c>
      <c r="D94" s="125"/>
      <c r="E94" s="125"/>
      <c r="F94" s="147"/>
      <c r="G94" s="176"/>
      <c r="H94" s="125">
        <f t="shared" si="16"/>
        <v>0</v>
      </c>
      <c r="I94" s="125">
        <f>VLOOKUP(C94,'NHẬP KHO '!C:U,18,0)</f>
        <v>0</v>
      </c>
      <c r="J94" s="206">
        <f>VLOOKUP(C94,'XUẤT KHO'!C:Z,23,0)</f>
        <v>0</v>
      </c>
      <c r="K94" s="175">
        <f t="shared" si="17"/>
        <v>0</v>
      </c>
      <c r="L94" s="125">
        <f t="shared" si="18"/>
        <v>0</v>
      </c>
      <c r="M94" s="125"/>
      <c r="N94" s="222"/>
      <c r="O94" s="125"/>
    </row>
    <row r="95" spans="1:15" s="46" customFormat="1" ht="36.75" customHeight="1">
      <c r="A95" s="125">
        <v>25</v>
      </c>
      <c r="B95" s="126" t="s">
        <v>391</v>
      </c>
      <c r="C95" s="125" t="s">
        <v>392</v>
      </c>
      <c r="D95" s="125"/>
      <c r="E95" s="125"/>
      <c r="F95" s="147"/>
      <c r="G95" s="176"/>
      <c r="H95" s="125">
        <f t="shared" si="16"/>
        <v>0</v>
      </c>
      <c r="I95" s="125">
        <f>VLOOKUP(C95,'NHẬP KHO '!C:U,18,0)</f>
        <v>0</v>
      </c>
      <c r="J95" s="206">
        <f>VLOOKUP(C95,'XUẤT KHO'!C:Z,23,0)</f>
        <v>0</v>
      </c>
      <c r="K95" s="175">
        <f t="shared" si="17"/>
        <v>0</v>
      </c>
      <c r="L95" s="125">
        <f t="shared" si="18"/>
        <v>0</v>
      </c>
      <c r="M95" s="125"/>
      <c r="N95" s="222"/>
      <c r="O95" s="125"/>
    </row>
    <row r="96" spans="1:15" customFormat="1" ht="40.5" customHeight="1">
      <c r="A96" s="148" t="s">
        <v>309</v>
      </c>
      <c r="B96" s="28" t="s">
        <v>293</v>
      </c>
      <c r="C96" s="28"/>
      <c r="D96" s="28"/>
      <c r="E96" s="201" t="s">
        <v>307</v>
      </c>
      <c r="F96" s="201"/>
      <c r="G96" s="217">
        <f t="shared" ref="G96:L96" si="19">SUM(G97:G110)</f>
        <v>129</v>
      </c>
      <c r="H96" s="217">
        <f t="shared" si="19"/>
        <v>788.55600000000004</v>
      </c>
      <c r="I96" s="217">
        <f t="shared" si="19"/>
        <v>22</v>
      </c>
      <c r="J96" s="232">
        <f>SUM(J97:J110)</f>
        <v>36</v>
      </c>
      <c r="K96" s="198">
        <f t="shared" si="19"/>
        <v>115</v>
      </c>
      <c r="L96" s="217">
        <f t="shared" si="19"/>
        <v>711.12599999999998</v>
      </c>
      <c r="M96" s="217"/>
      <c r="N96" s="217">
        <f>SUM(N97:N110)</f>
        <v>0</v>
      </c>
      <c r="O96" s="217">
        <f>SUM(O97:O110)</f>
        <v>0</v>
      </c>
    </row>
    <row r="97" spans="1:15" customFormat="1" ht="40.5" customHeight="1">
      <c r="A97" s="149">
        <v>1</v>
      </c>
      <c r="B97" s="218" t="s">
        <v>278</v>
      </c>
      <c r="C97" s="206" t="s">
        <v>279</v>
      </c>
      <c r="D97" s="206"/>
      <c r="E97" s="206" t="s">
        <v>307</v>
      </c>
      <c r="F97" s="219">
        <v>1.425</v>
      </c>
      <c r="G97" s="176">
        <v>11</v>
      </c>
      <c r="H97" s="125">
        <f t="shared" ref="H97:H110" si="20">F97*G97*6</f>
        <v>94.050000000000011</v>
      </c>
      <c r="I97" s="125">
        <f>VLOOKUP(C97,'NHẬP KHO '!C:U,18,0)</f>
        <v>0</v>
      </c>
      <c r="J97" s="206">
        <f>VLOOKUP(C97,'XUẤT KHO'!C:Z,23,0)</f>
        <v>5</v>
      </c>
      <c r="K97" s="175">
        <f t="shared" ref="K97:K110" si="21">G97+I97-J97</f>
        <v>6</v>
      </c>
      <c r="L97" s="125">
        <f t="shared" ref="L97:L110" si="22">F97*K97*6</f>
        <v>51.300000000000004</v>
      </c>
      <c r="M97" s="125"/>
      <c r="N97" s="222"/>
      <c r="O97" s="125"/>
    </row>
    <row r="98" spans="1:15" customFormat="1" ht="40.5" customHeight="1">
      <c r="A98" s="149">
        <v>2</v>
      </c>
      <c r="B98" s="223" t="s">
        <v>442</v>
      </c>
      <c r="C98" s="224" t="s">
        <v>444</v>
      </c>
      <c r="D98" s="206"/>
      <c r="E98" s="206" t="s">
        <v>307</v>
      </c>
      <c r="F98" s="225">
        <v>2.15</v>
      </c>
      <c r="G98" s="176">
        <v>4</v>
      </c>
      <c r="H98" s="125">
        <f t="shared" si="20"/>
        <v>51.599999999999994</v>
      </c>
      <c r="I98" s="125">
        <f>VLOOKUP(C98,'NHẬP KHO '!C:U,18,0)</f>
        <v>0</v>
      </c>
      <c r="J98" s="206">
        <f>VLOOKUP(C98,'XUẤT KHO'!C:Z,23,0)</f>
        <v>0</v>
      </c>
      <c r="K98" s="175">
        <f t="shared" si="21"/>
        <v>4</v>
      </c>
      <c r="L98" s="125">
        <f t="shared" si="22"/>
        <v>51.599999999999994</v>
      </c>
      <c r="M98" s="125"/>
      <c r="N98" s="222"/>
      <c r="O98" s="125"/>
    </row>
    <row r="99" spans="1:15" customFormat="1" ht="40.5" customHeight="1">
      <c r="A99" s="149">
        <v>3</v>
      </c>
      <c r="B99" s="223" t="s">
        <v>443</v>
      </c>
      <c r="C99" s="224" t="s">
        <v>445</v>
      </c>
      <c r="D99" s="206"/>
      <c r="E99" s="206" t="s">
        <v>307</v>
      </c>
      <c r="F99" s="225">
        <v>1.5249999999999999</v>
      </c>
      <c r="G99" s="176">
        <v>7</v>
      </c>
      <c r="H99" s="125">
        <f t="shared" si="20"/>
        <v>64.05</v>
      </c>
      <c r="I99" s="125">
        <f>VLOOKUP(C99,'NHẬP KHO '!C:U,18,0)</f>
        <v>0</v>
      </c>
      <c r="J99" s="206">
        <f>VLOOKUP(C99,'XUẤT KHO'!C:Z,23,0)</f>
        <v>0</v>
      </c>
      <c r="K99" s="175">
        <f t="shared" si="21"/>
        <v>7</v>
      </c>
      <c r="L99" s="125">
        <f t="shared" si="22"/>
        <v>64.05</v>
      </c>
      <c r="M99" s="125"/>
      <c r="N99" s="222"/>
      <c r="O99" s="125"/>
    </row>
    <row r="100" spans="1:15" customFormat="1" ht="40.5" customHeight="1">
      <c r="A100" s="149">
        <v>4</v>
      </c>
      <c r="B100" s="126" t="s">
        <v>280</v>
      </c>
      <c r="C100" s="125" t="s">
        <v>281</v>
      </c>
      <c r="D100" s="125"/>
      <c r="E100" s="125" t="s">
        <v>307</v>
      </c>
      <c r="F100" s="147">
        <v>1.2350000000000001</v>
      </c>
      <c r="G100" s="176">
        <v>15</v>
      </c>
      <c r="H100" s="125">
        <f t="shared" si="20"/>
        <v>111.15</v>
      </c>
      <c r="I100" s="125">
        <f>VLOOKUP(C100,'NHẬP KHO '!C:U,18,0)</f>
        <v>12</v>
      </c>
      <c r="J100" s="206">
        <f>VLOOKUP(C100,'XUẤT KHO'!C:Z,23,0)</f>
        <v>13</v>
      </c>
      <c r="K100" s="175">
        <f t="shared" si="21"/>
        <v>14</v>
      </c>
      <c r="L100" s="125">
        <f t="shared" si="22"/>
        <v>103.74000000000001</v>
      </c>
      <c r="M100" s="125"/>
      <c r="N100" s="222"/>
      <c r="O100" s="125"/>
    </row>
    <row r="101" spans="1:15" customFormat="1" ht="40.5" customHeight="1">
      <c r="A101" s="149">
        <v>5</v>
      </c>
      <c r="B101" s="226" t="s">
        <v>282</v>
      </c>
      <c r="C101" s="227" t="s">
        <v>283</v>
      </c>
      <c r="D101" s="227"/>
      <c r="E101" s="227" t="s">
        <v>307</v>
      </c>
      <c r="F101" s="219">
        <v>1.1419999999999999</v>
      </c>
      <c r="G101" s="176">
        <v>12</v>
      </c>
      <c r="H101" s="125">
        <f t="shared" si="20"/>
        <v>82.22399999999999</v>
      </c>
      <c r="I101" s="125">
        <f>VLOOKUP(C101,'NHẬP KHO '!C:U,18,0)</f>
        <v>0</v>
      </c>
      <c r="J101" s="206">
        <f>VLOOKUP(C101,'XUẤT KHO'!C:Z,23,0)</f>
        <v>1</v>
      </c>
      <c r="K101" s="175">
        <f t="shared" si="21"/>
        <v>11</v>
      </c>
      <c r="L101" s="125">
        <f t="shared" si="22"/>
        <v>75.372</v>
      </c>
      <c r="M101" s="125"/>
      <c r="N101" s="222"/>
      <c r="O101" s="125"/>
    </row>
    <row r="102" spans="1:15" customFormat="1" ht="40.5" customHeight="1">
      <c r="A102" s="149">
        <v>6</v>
      </c>
      <c r="B102" s="126" t="s">
        <v>284</v>
      </c>
      <c r="C102" s="125" t="s">
        <v>285</v>
      </c>
      <c r="D102" s="125"/>
      <c r="E102" s="125" t="s">
        <v>307</v>
      </c>
      <c r="F102" s="147">
        <v>0.443</v>
      </c>
      <c r="G102" s="176">
        <v>4</v>
      </c>
      <c r="H102" s="125">
        <f t="shared" si="20"/>
        <v>10.632</v>
      </c>
      <c r="I102" s="125">
        <f>VLOOKUP(C102,'NHẬP KHO '!C:U,18,0)</f>
        <v>0</v>
      </c>
      <c r="J102" s="206">
        <f>VLOOKUP(C102,'XUẤT KHO'!C:Z,23,0)</f>
        <v>4</v>
      </c>
      <c r="K102" s="175">
        <f t="shared" si="21"/>
        <v>0</v>
      </c>
      <c r="L102" s="125">
        <f t="shared" si="22"/>
        <v>0</v>
      </c>
      <c r="M102" s="125"/>
      <c r="N102" s="222"/>
      <c r="O102" s="125"/>
    </row>
    <row r="103" spans="1:15" customFormat="1" ht="40.5" customHeight="1">
      <c r="A103" s="149">
        <v>7</v>
      </c>
      <c r="B103" s="228" t="s">
        <v>286</v>
      </c>
      <c r="C103" s="229" t="s">
        <v>441</v>
      </c>
      <c r="D103" s="206"/>
      <c r="E103" s="206" t="s">
        <v>307</v>
      </c>
      <c r="F103" s="219">
        <v>0.92</v>
      </c>
      <c r="G103" s="176">
        <v>28</v>
      </c>
      <c r="H103" s="125">
        <f t="shared" si="20"/>
        <v>154.56</v>
      </c>
      <c r="I103" s="125">
        <f>VLOOKUP(C103,'NHẬP KHO '!C:U,18,0)</f>
        <v>0</v>
      </c>
      <c r="J103" s="206">
        <f>VLOOKUP(C103,'XUẤT KHO'!C:Z,23,0)</f>
        <v>2</v>
      </c>
      <c r="K103" s="175">
        <f t="shared" si="21"/>
        <v>26</v>
      </c>
      <c r="L103" s="125">
        <f t="shared" si="22"/>
        <v>143.52000000000001</v>
      </c>
      <c r="M103" s="125"/>
      <c r="N103" s="222"/>
      <c r="O103" s="125"/>
    </row>
    <row r="104" spans="1:15" customFormat="1" ht="40.5" customHeight="1">
      <c r="A104" s="149">
        <v>8</v>
      </c>
      <c r="B104" s="218" t="s">
        <v>287</v>
      </c>
      <c r="C104" s="206" t="s">
        <v>288</v>
      </c>
      <c r="D104" s="206"/>
      <c r="E104" s="206" t="s">
        <v>307</v>
      </c>
      <c r="F104" s="219">
        <v>0.29299999999999998</v>
      </c>
      <c r="G104" s="176">
        <v>7</v>
      </c>
      <c r="H104" s="125">
        <f t="shared" si="20"/>
        <v>12.305999999999997</v>
      </c>
      <c r="I104" s="125">
        <f>VLOOKUP(C104,'NHẬP KHO '!C:U,18,0)</f>
        <v>10</v>
      </c>
      <c r="J104" s="206">
        <f>VLOOKUP(C104,'XUẤT KHO'!C:Z,23,0)</f>
        <v>3</v>
      </c>
      <c r="K104" s="175">
        <f t="shared" si="21"/>
        <v>14</v>
      </c>
      <c r="L104" s="125">
        <f t="shared" si="22"/>
        <v>24.611999999999995</v>
      </c>
      <c r="M104" s="125"/>
      <c r="N104" s="220"/>
      <c r="O104" s="220"/>
    </row>
    <row r="105" spans="1:15" customFormat="1" ht="40.5" customHeight="1">
      <c r="A105" s="149">
        <v>9</v>
      </c>
      <c r="B105" s="218" t="s">
        <v>289</v>
      </c>
      <c r="C105" s="206" t="s">
        <v>290</v>
      </c>
      <c r="D105" s="206"/>
      <c r="E105" s="206" t="s">
        <v>307</v>
      </c>
      <c r="F105" s="219">
        <v>0.33900000000000002</v>
      </c>
      <c r="G105" s="176">
        <v>6</v>
      </c>
      <c r="H105" s="125">
        <f t="shared" si="20"/>
        <v>12.204000000000001</v>
      </c>
      <c r="I105" s="125">
        <f>VLOOKUP(C105,'NHẬP KHO '!C:U,18,0)</f>
        <v>0</v>
      </c>
      <c r="J105" s="206">
        <f>VLOOKUP(C105,'XUẤT KHO'!C:Z,23,0)</f>
        <v>1</v>
      </c>
      <c r="K105" s="175">
        <f t="shared" si="21"/>
        <v>5</v>
      </c>
      <c r="L105" s="125">
        <f t="shared" si="22"/>
        <v>10.17</v>
      </c>
      <c r="M105" s="125"/>
      <c r="N105" s="220"/>
      <c r="O105" s="220"/>
    </row>
    <row r="106" spans="1:15" customFormat="1" ht="40.5" customHeight="1">
      <c r="A106" s="149">
        <v>10</v>
      </c>
      <c r="B106" s="218" t="s">
        <v>291</v>
      </c>
      <c r="C106" s="206" t="s">
        <v>415</v>
      </c>
      <c r="D106" s="206"/>
      <c r="E106" s="206" t="s">
        <v>307</v>
      </c>
      <c r="F106" s="219">
        <v>0.221</v>
      </c>
      <c r="G106" s="176">
        <v>5</v>
      </c>
      <c r="H106" s="125">
        <f t="shared" si="20"/>
        <v>6.63</v>
      </c>
      <c r="I106" s="125">
        <f>VLOOKUP(C106,'NHẬP KHO '!C:U,18,0)</f>
        <v>0</v>
      </c>
      <c r="J106" s="206">
        <f>VLOOKUP(C106,'XUẤT KHO'!C:Z,23,0)</f>
        <v>3</v>
      </c>
      <c r="K106" s="175">
        <f t="shared" si="21"/>
        <v>2</v>
      </c>
      <c r="L106" s="125">
        <f t="shared" si="22"/>
        <v>2.6520000000000001</v>
      </c>
      <c r="M106" s="125"/>
      <c r="N106" s="125"/>
      <c r="O106" s="125"/>
    </row>
    <row r="107" spans="1:15" customFormat="1" ht="40.5" customHeight="1">
      <c r="A107" s="149">
        <v>11</v>
      </c>
      <c r="B107" s="218" t="s">
        <v>25</v>
      </c>
      <c r="C107" s="206" t="s">
        <v>416</v>
      </c>
      <c r="D107" s="206"/>
      <c r="E107" s="206" t="s">
        <v>307</v>
      </c>
      <c r="F107" s="219">
        <v>1.2190000000000001</v>
      </c>
      <c r="G107" s="176">
        <v>25</v>
      </c>
      <c r="H107" s="125">
        <f t="shared" si="20"/>
        <v>182.85000000000002</v>
      </c>
      <c r="I107" s="125">
        <f>VLOOKUP(C107,'NHẬP KHO '!C:U,18,0)</f>
        <v>0</v>
      </c>
      <c r="J107" s="206">
        <f>VLOOKUP(C107,'XUẤT KHO'!C:Z,23,0)</f>
        <v>0</v>
      </c>
      <c r="K107" s="175">
        <f t="shared" si="21"/>
        <v>25</v>
      </c>
      <c r="L107" s="125">
        <f t="shared" si="22"/>
        <v>182.85000000000002</v>
      </c>
      <c r="M107" s="125"/>
      <c r="N107" s="125"/>
      <c r="O107" s="125"/>
    </row>
    <row r="108" spans="1:15" customFormat="1" ht="40.5" customHeight="1">
      <c r="A108" s="149">
        <v>12</v>
      </c>
      <c r="B108" s="218" t="s">
        <v>418</v>
      </c>
      <c r="C108" s="206" t="s">
        <v>417</v>
      </c>
      <c r="D108" s="206"/>
      <c r="E108" s="206" t="s">
        <v>307</v>
      </c>
      <c r="F108" s="219">
        <v>0.22</v>
      </c>
      <c r="G108" s="176"/>
      <c r="H108" s="125">
        <f t="shared" si="20"/>
        <v>0</v>
      </c>
      <c r="I108" s="125">
        <f>VLOOKUP(C108,'NHẬP KHO '!C:U,18,0)</f>
        <v>0</v>
      </c>
      <c r="J108" s="206">
        <f>VLOOKUP(C108,'XUẤT KHO'!C:Z,23,0)</f>
        <v>0</v>
      </c>
      <c r="K108" s="175">
        <f t="shared" si="21"/>
        <v>0</v>
      </c>
      <c r="L108" s="125">
        <f t="shared" si="22"/>
        <v>0</v>
      </c>
      <c r="M108" s="125"/>
      <c r="N108" s="125"/>
      <c r="O108" s="125"/>
    </row>
    <row r="109" spans="1:15" customFormat="1" ht="40.5" customHeight="1">
      <c r="A109" s="149">
        <v>13</v>
      </c>
      <c r="B109" s="218" t="s">
        <v>395</v>
      </c>
      <c r="C109" s="206" t="s">
        <v>470</v>
      </c>
      <c r="D109" s="206"/>
      <c r="E109" s="206" t="s">
        <v>307</v>
      </c>
      <c r="F109" s="219">
        <v>0.18099999999999999</v>
      </c>
      <c r="G109" s="176"/>
      <c r="H109" s="125">
        <f t="shared" si="20"/>
        <v>0</v>
      </c>
      <c r="I109" s="125">
        <f>VLOOKUP(C109,'NHẬP KHO '!C:U,18,0)</f>
        <v>0</v>
      </c>
      <c r="J109" s="206">
        <f>VLOOKUP(C109,'XUẤT KHO'!C:Z,23,0)</f>
        <v>0</v>
      </c>
      <c r="K109" s="175">
        <f t="shared" si="21"/>
        <v>0</v>
      </c>
      <c r="L109" s="125">
        <f t="shared" si="22"/>
        <v>0</v>
      </c>
      <c r="M109" s="125"/>
      <c r="N109" s="125"/>
      <c r="O109" s="125"/>
    </row>
    <row r="110" spans="1:15" customFormat="1" ht="40.5" customHeight="1">
      <c r="A110" s="149">
        <v>14</v>
      </c>
      <c r="B110" s="218" t="s">
        <v>292</v>
      </c>
      <c r="C110" s="206" t="s">
        <v>394</v>
      </c>
      <c r="D110" s="206"/>
      <c r="E110" s="206" t="s">
        <v>307</v>
      </c>
      <c r="F110" s="219">
        <v>0.21</v>
      </c>
      <c r="G110" s="176">
        <v>5</v>
      </c>
      <c r="H110" s="125">
        <f t="shared" si="20"/>
        <v>6.3000000000000007</v>
      </c>
      <c r="I110" s="125">
        <f>VLOOKUP(C110,'NHẬP KHO '!C:U,18,0)</f>
        <v>0</v>
      </c>
      <c r="J110" s="206">
        <f>VLOOKUP(C110,'XUẤT KHO'!C:Z,23,0)</f>
        <v>4</v>
      </c>
      <c r="K110" s="175">
        <f t="shared" si="21"/>
        <v>1</v>
      </c>
      <c r="L110" s="125">
        <f t="shared" si="22"/>
        <v>1.26</v>
      </c>
      <c r="M110" s="125"/>
      <c r="N110" s="125"/>
      <c r="O110" s="125"/>
    </row>
    <row r="111" spans="1:15" customFormat="1" ht="40.5" customHeight="1">
      <c r="A111" s="148" t="s">
        <v>309</v>
      </c>
      <c r="B111" s="28" t="s">
        <v>427</v>
      </c>
      <c r="C111" s="28"/>
      <c r="D111" s="28"/>
      <c r="E111" s="201" t="s">
        <v>307</v>
      </c>
      <c r="F111" s="201"/>
      <c r="G111" s="217">
        <f t="shared" ref="G111:L111" si="23">SUM(G112:G121)</f>
        <v>42</v>
      </c>
      <c r="H111" s="217">
        <f t="shared" si="23"/>
        <v>176.22000000000003</v>
      </c>
      <c r="I111" s="217">
        <f t="shared" si="23"/>
        <v>0</v>
      </c>
      <c r="J111" s="232">
        <f>SUM(J112:J121)</f>
        <v>4</v>
      </c>
      <c r="K111" s="198">
        <f t="shared" si="23"/>
        <v>38</v>
      </c>
      <c r="L111" s="217">
        <f t="shared" si="23"/>
        <v>95.646000000000001</v>
      </c>
      <c r="M111" s="217"/>
      <c r="N111" s="217">
        <f>SUM(N112:N121)</f>
        <v>0</v>
      </c>
      <c r="O111" s="217">
        <f>SUM(O112:O121)</f>
        <v>0</v>
      </c>
    </row>
    <row r="112" spans="1:15" customFormat="1" ht="40.5" customHeight="1">
      <c r="A112" s="150">
        <v>1</v>
      </c>
      <c r="B112" s="144" t="s">
        <v>438</v>
      </c>
      <c r="C112" s="144" t="s">
        <v>439</v>
      </c>
      <c r="D112" s="144"/>
      <c r="E112" s="125" t="s">
        <v>307</v>
      </c>
      <c r="F112" s="125">
        <v>2.7120000000000002</v>
      </c>
      <c r="G112" s="176">
        <v>4</v>
      </c>
      <c r="H112" s="125">
        <f t="shared" ref="H112:H121" si="24">F112*G112*6</f>
        <v>65.088000000000008</v>
      </c>
      <c r="I112" s="125">
        <f>VLOOKUP(C112,'NHẬP KHO '!C:U,18,0)</f>
        <v>0</v>
      </c>
      <c r="J112" s="206">
        <f>VLOOKUP(C112,'XUẤT KHO'!C:Z,23,0)</f>
        <v>0</v>
      </c>
      <c r="K112" s="175">
        <f t="shared" ref="K112:K120" si="25">G112+I112-J112</f>
        <v>4</v>
      </c>
      <c r="L112" s="125">
        <f t="shared" ref="L112:L120" si="26">F112*K112*3.8</f>
        <v>41.2224</v>
      </c>
      <c r="M112" s="125"/>
      <c r="N112" s="230"/>
      <c r="O112" s="230"/>
    </row>
    <row r="113" spans="1:15" customFormat="1" ht="40.5" customHeight="1">
      <c r="A113" s="149">
        <v>2</v>
      </c>
      <c r="B113" s="218" t="s">
        <v>428</v>
      </c>
      <c r="C113" s="206" t="s">
        <v>429</v>
      </c>
      <c r="D113" s="206"/>
      <c r="E113" s="206" t="s">
        <v>307</v>
      </c>
      <c r="F113" s="219">
        <v>2.8290000000000002</v>
      </c>
      <c r="G113" s="176"/>
      <c r="H113" s="125">
        <f t="shared" si="24"/>
        <v>0</v>
      </c>
      <c r="I113" s="125">
        <f>VLOOKUP(C113,'NHẬP KHO '!C:U,18,0)</f>
        <v>0</v>
      </c>
      <c r="J113" s="206">
        <f>VLOOKUP(C113,'XUẤT KHO'!C:Z,23,0)</f>
        <v>0</v>
      </c>
      <c r="K113" s="175">
        <f t="shared" si="25"/>
        <v>0</v>
      </c>
      <c r="L113" s="125">
        <f t="shared" si="26"/>
        <v>0</v>
      </c>
      <c r="M113" s="125"/>
      <c r="N113" s="222"/>
      <c r="O113" s="125"/>
    </row>
    <row r="114" spans="1:15" customFormat="1" ht="40.5" customHeight="1">
      <c r="A114" s="150">
        <v>3</v>
      </c>
      <c r="B114" s="218" t="s">
        <v>413</v>
      </c>
      <c r="C114" s="227" t="s">
        <v>430</v>
      </c>
      <c r="D114" s="227"/>
      <c r="E114" s="227" t="s">
        <v>307</v>
      </c>
      <c r="F114" s="219">
        <v>0.435</v>
      </c>
      <c r="G114" s="176">
        <v>2</v>
      </c>
      <c r="H114" s="125">
        <f t="shared" si="24"/>
        <v>5.22</v>
      </c>
      <c r="I114" s="125">
        <f>VLOOKUP(C114,'NHẬP KHO '!C:U,18,0)</f>
        <v>0</v>
      </c>
      <c r="J114" s="206">
        <f>VLOOKUP(C114,'XUẤT KHO'!C:Z,23,0)</f>
        <v>0</v>
      </c>
      <c r="K114" s="175">
        <f t="shared" si="25"/>
        <v>2</v>
      </c>
      <c r="L114" s="125">
        <f t="shared" si="26"/>
        <v>3.306</v>
      </c>
      <c r="M114" s="125"/>
      <c r="N114" s="222"/>
      <c r="O114" s="125"/>
    </row>
    <row r="115" spans="1:15" customFormat="1" ht="40.5" customHeight="1">
      <c r="A115" s="149">
        <v>4</v>
      </c>
      <c r="B115" s="226" t="s">
        <v>461</v>
      </c>
      <c r="C115" s="227" t="s">
        <v>432</v>
      </c>
      <c r="D115" s="227"/>
      <c r="E115" s="227" t="s">
        <v>307</v>
      </c>
      <c r="F115" s="219">
        <v>0.52800000000000002</v>
      </c>
      <c r="G115" s="176">
        <v>10</v>
      </c>
      <c r="H115" s="125">
        <f t="shared" si="24"/>
        <v>31.68</v>
      </c>
      <c r="I115" s="125">
        <f>VLOOKUP(C115,'NHẬP KHO '!C:U,18,0)</f>
        <v>0</v>
      </c>
      <c r="J115" s="206">
        <f>VLOOKUP(C115,'XUẤT KHO'!C:Z,23,0)</f>
        <v>0</v>
      </c>
      <c r="K115" s="175">
        <f t="shared" si="25"/>
        <v>10</v>
      </c>
      <c r="L115" s="125">
        <f t="shared" si="26"/>
        <v>20.064</v>
      </c>
      <c r="M115" s="125"/>
      <c r="N115" s="222"/>
      <c r="O115" s="125"/>
    </row>
    <row r="116" spans="1:15" customFormat="1" ht="40.5" customHeight="1">
      <c r="A116" s="150">
        <v>5</v>
      </c>
      <c r="B116" s="226" t="s">
        <v>452</v>
      </c>
      <c r="C116" s="227" t="s">
        <v>447</v>
      </c>
      <c r="D116" s="227"/>
      <c r="E116" s="227" t="s">
        <v>307</v>
      </c>
      <c r="F116" s="219">
        <v>0.28699999999999998</v>
      </c>
      <c r="G116" s="176"/>
      <c r="H116" s="125">
        <f t="shared" si="24"/>
        <v>0</v>
      </c>
      <c r="I116" s="125">
        <f>VLOOKUP(C116,'NHẬP KHO '!C:U,18,0)</f>
        <v>0</v>
      </c>
      <c r="J116" s="206">
        <f>VLOOKUP(C116,'XUẤT KHO'!C:Z,23,0)</f>
        <v>0</v>
      </c>
      <c r="K116" s="175">
        <f t="shared" si="25"/>
        <v>0</v>
      </c>
      <c r="L116" s="125">
        <f t="shared" si="26"/>
        <v>0</v>
      </c>
      <c r="M116" s="125"/>
      <c r="N116" s="222"/>
      <c r="O116" s="125"/>
    </row>
    <row r="117" spans="1:15" customFormat="1" ht="40.5" customHeight="1">
      <c r="A117" s="149">
        <v>6</v>
      </c>
      <c r="B117" s="226" t="s">
        <v>453</v>
      </c>
      <c r="C117" s="227" t="s">
        <v>454</v>
      </c>
      <c r="D117" s="227"/>
      <c r="E117" s="227" t="s">
        <v>307</v>
      </c>
      <c r="F117" s="219">
        <v>0.17799999999999999</v>
      </c>
      <c r="G117" s="176">
        <v>5</v>
      </c>
      <c r="H117" s="125">
        <f t="shared" si="24"/>
        <v>5.34</v>
      </c>
      <c r="I117" s="125">
        <f>VLOOKUP(C117,'NHẬP KHO '!C:U,18,0)</f>
        <v>0</v>
      </c>
      <c r="J117" s="206">
        <f>VLOOKUP(C117,'XUẤT KHO'!C:Z,23,0)</f>
        <v>0</v>
      </c>
      <c r="K117" s="175">
        <f t="shared" si="25"/>
        <v>5</v>
      </c>
      <c r="L117" s="125">
        <f t="shared" si="26"/>
        <v>3.3819999999999997</v>
      </c>
      <c r="M117" s="125"/>
      <c r="N117" s="222"/>
      <c r="O117" s="125"/>
    </row>
    <row r="118" spans="1:15" customFormat="1" ht="40.5" customHeight="1">
      <c r="A118" s="150">
        <v>7</v>
      </c>
      <c r="B118" s="218" t="s">
        <v>449</v>
      </c>
      <c r="C118" s="227" t="s">
        <v>451</v>
      </c>
      <c r="D118" s="206"/>
      <c r="E118" s="206" t="s">
        <v>307</v>
      </c>
      <c r="F118" s="219">
        <v>0.311</v>
      </c>
      <c r="G118" s="176"/>
      <c r="H118" s="125">
        <f t="shared" si="24"/>
        <v>0</v>
      </c>
      <c r="I118" s="125">
        <f>VLOOKUP(C118,'NHẬP KHO '!C:U,18,0)</f>
        <v>0</v>
      </c>
      <c r="J118" s="206">
        <f>VLOOKUP(C118,'XUẤT KHO'!C:Z,23,0)</f>
        <v>0</v>
      </c>
      <c r="K118" s="175">
        <f t="shared" si="25"/>
        <v>0</v>
      </c>
      <c r="L118" s="125">
        <f t="shared" si="26"/>
        <v>0</v>
      </c>
      <c r="M118" s="125"/>
      <c r="N118" s="222"/>
      <c r="O118" s="125"/>
    </row>
    <row r="119" spans="1:15" customFormat="1" ht="40.5" customHeight="1">
      <c r="A119" s="149">
        <v>8</v>
      </c>
      <c r="B119" s="218" t="s">
        <v>450</v>
      </c>
      <c r="C119" s="227" t="s">
        <v>448</v>
      </c>
      <c r="D119" s="206"/>
      <c r="E119" s="206" t="s">
        <v>307</v>
      </c>
      <c r="F119" s="219">
        <v>0.254</v>
      </c>
      <c r="G119" s="176">
        <v>8</v>
      </c>
      <c r="H119" s="125">
        <f t="shared" si="24"/>
        <v>12.192</v>
      </c>
      <c r="I119" s="125">
        <f>VLOOKUP(C119,'NHẬP KHO '!C:U,18,0)</f>
        <v>0</v>
      </c>
      <c r="J119" s="206">
        <f>VLOOKUP(C119,'XUẤT KHO'!C:Z,23,0)</f>
        <v>0</v>
      </c>
      <c r="K119" s="175">
        <f t="shared" si="25"/>
        <v>8</v>
      </c>
      <c r="L119" s="125">
        <f t="shared" si="26"/>
        <v>7.7215999999999996</v>
      </c>
      <c r="M119" s="125"/>
      <c r="N119" s="222"/>
      <c r="O119" s="125"/>
    </row>
    <row r="120" spans="1:15" ht="40.5" customHeight="1">
      <c r="A120" s="206">
        <v>9</v>
      </c>
      <c r="B120" s="218" t="s">
        <v>485</v>
      </c>
      <c r="C120" s="227" t="s">
        <v>484</v>
      </c>
      <c r="D120" s="206"/>
      <c r="E120" s="206" t="s">
        <v>307</v>
      </c>
      <c r="F120" s="219">
        <v>1.05</v>
      </c>
      <c r="G120" s="176">
        <v>9</v>
      </c>
      <c r="H120" s="125">
        <f t="shared" si="24"/>
        <v>56.7</v>
      </c>
      <c r="I120" s="125">
        <f>VLOOKUP(C120,'NHẬP KHO '!C:U,18,0)</f>
        <v>0</v>
      </c>
      <c r="J120" s="206">
        <f>VLOOKUP(C120,'XUẤT KHO'!C:Z,23,0)</f>
        <v>4</v>
      </c>
      <c r="K120" s="175">
        <f t="shared" si="25"/>
        <v>5</v>
      </c>
      <c r="L120" s="125">
        <f t="shared" si="26"/>
        <v>19.95</v>
      </c>
      <c r="M120" s="125"/>
      <c r="N120" s="206"/>
      <c r="O120" s="206"/>
    </row>
    <row r="121" spans="1:15" customFormat="1" ht="40.5" customHeight="1">
      <c r="A121" s="149">
        <v>10</v>
      </c>
      <c r="B121" s="218" t="s">
        <v>462</v>
      </c>
      <c r="C121" s="227" t="s">
        <v>471</v>
      </c>
      <c r="D121" s="206"/>
      <c r="E121" s="206"/>
      <c r="F121" s="219"/>
      <c r="G121" s="176">
        <v>4</v>
      </c>
      <c r="H121" s="125">
        <f t="shared" si="24"/>
        <v>0</v>
      </c>
      <c r="I121" s="125">
        <f>VLOOKUP(C121,'NHẬP KHO '!C:U,18,0)</f>
        <v>0</v>
      </c>
      <c r="J121" s="206">
        <f>VLOOKUP(C121,'XUẤT KHO'!C:Z,23,0)</f>
        <v>0</v>
      </c>
      <c r="K121" s="175">
        <f t="shared" ref="K121:K127" si="27">G121+I121-J121</f>
        <v>4</v>
      </c>
      <c r="L121" s="125">
        <f t="shared" ref="L121:L127" si="28">F121*K121*3.8</f>
        <v>0</v>
      </c>
      <c r="M121" s="125"/>
      <c r="N121" s="222"/>
      <c r="O121" s="125"/>
    </row>
    <row r="122" spans="1:15" customFormat="1" ht="40.5" customHeight="1">
      <c r="A122" s="148" t="s">
        <v>309</v>
      </c>
      <c r="B122" s="28" t="s">
        <v>419</v>
      </c>
      <c r="C122" s="28"/>
      <c r="D122" s="28"/>
      <c r="E122" s="201" t="s">
        <v>307</v>
      </c>
      <c r="F122" s="201"/>
      <c r="G122" s="217">
        <f>SUM(G123:G127)</f>
        <v>18</v>
      </c>
      <c r="H122" s="217">
        <f t="shared" ref="H122:O122" si="29">SUM(H123:H127)</f>
        <v>115.91999999999997</v>
      </c>
      <c r="I122" s="217">
        <f>SUM(I123:I127)</f>
        <v>0</v>
      </c>
      <c r="J122" s="232">
        <f>SUM(J123:J127)</f>
        <v>0</v>
      </c>
      <c r="K122" s="198">
        <f t="shared" si="29"/>
        <v>18</v>
      </c>
      <c r="L122" s="217">
        <f t="shared" si="29"/>
        <v>73.415999999999997</v>
      </c>
      <c r="M122" s="217"/>
      <c r="N122" s="217">
        <f t="shared" si="29"/>
        <v>0</v>
      </c>
      <c r="O122" s="217">
        <f t="shared" si="29"/>
        <v>0</v>
      </c>
    </row>
    <row r="123" spans="1:15" customFormat="1" ht="40.5" customHeight="1">
      <c r="A123" s="149">
        <v>1</v>
      </c>
      <c r="B123" s="218" t="s">
        <v>463</v>
      </c>
      <c r="C123" s="206" t="s">
        <v>440</v>
      </c>
      <c r="D123" s="206"/>
      <c r="E123" s="206" t="s">
        <v>307</v>
      </c>
      <c r="F123" s="219">
        <v>2.0699999999999998</v>
      </c>
      <c r="G123" s="176">
        <v>6</v>
      </c>
      <c r="H123" s="125">
        <f t="shared" ref="H123:H128" si="30">F123*G123*6</f>
        <v>74.519999999999982</v>
      </c>
      <c r="I123" s="125">
        <f>VLOOKUP(C123,'NHẬP KHO '!C:U,18,0)</f>
        <v>0</v>
      </c>
      <c r="J123" s="206">
        <f>VLOOKUP(C123,'XUẤT KHO'!C:Z,23,0)</f>
        <v>0</v>
      </c>
      <c r="K123" s="175">
        <f t="shared" si="27"/>
        <v>6</v>
      </c>
      <c r="L123" s="125">
        <f t="shared" si="28"/>
        <v>47.195999999999991</v>
      </c>
      <c r="M123" s="125"/>
      <c r="N123" s="222"/>
      <c r="O123" s="125"/>
    </row>
    <row r="124" spans="1:15" customFormat="1" ht="40.5" customHeight="1">
      <c r="A124" s="151">
        <v>2</v>
      </c>
      <c r="B124" s="218" t="s">
        <v>464</v>
      </c>
      <c r="C124" s="227" t="s">
        <v>446</v>
      </c>
      <c r="D124" s="227"/>
      <c r="E124" s="227" t="s">
        <v>307</v>
      </c>
      <c r="F124" s="219">
        <v>1.4</v>
      </c>
      <c r="G124" s="176">
        <v>2</v>
      </c>
      <c r="H124" s="125">
        <f t="shared" si="30"/>
        <v>16.799999999999997</v>
      </c>
      <c r="I124" s="125">
        <f>VLOOKUP(C124,'NHẬP KHO '!C:U,18,0)</f>
        <v>0</v>
      </c>
      <c r="J124" s="206">
        <f>VLOOKUP(C124,'XUẤT KHO'!C:Z,23,0)</f>
        <v>0</v>
      </c>
      <c r="K124" s="175">
        <f t="shared" si="27"/>
        <v>2</v>
      </c>
      <c r="L124" s="125">
        <f t="shared" si="28"/>
        <v>10.639999999999999</v>
      </c>
      <c r="M124" s="125"/>
      <c r="N124" s="222"/>
      <c r="O124" s="125"/>
    </row>
    <row r="125" spans="1:15" customFormat="1" ht="40.5" customHeight="1">
      <c r="A125" s="149">
        <v>3</v>
      </c>
      <c r="B125" s="226" t="s">
        <v>421</v>
      </c>
      <c r="C125" s="227" t="s">
        <v>423</v>
      </c>
      <c r="D125" s="227"/>
      <c r="E125" s="227" t="s">
        <v>307</v>
      </c>
      <c r="F125" s="219">
        <v>0.40100000000000002</v>
      </c>
      <c r="G125" s="176"/>
      <c r="H125" s="125">
        <f t="shared" si="30"/>
        <v>0</v>
      </c>
      <c r="I125" s="125">
        <f>VLOOKUP(C125,'NHẬP KHO '!C:U,18,0)</f>
        <v>0</v>
      </c>
      <c r="J125" s="206">
        <f>VLOOKUP(C125,'XUẤT KHO'!C:Z,23,0)</f>
        <v>0</v>
      </c>
      <c r="K125" s="175">
        <f t="shared" si="27"/>
        <v>0</v>
      </c>
      <c r="L125" s="125">
        <f t="shared" si="28"/>
        <v>0</v>
      </c>
      <c r="M125" s="125"/>
      <c r="N125" s="222"/>
      <c r="O125" s="125"/>
    </row>
    <row r="126" spans="1:15" customFormat="1" ht="40.5" customHeight="1">
      <c r="A126" s="151">
        <v>4</v>
      </c>
      <c r="B126" s="226" t="s">
        <v>436</v>
      </c>
      <c r="C126" s="227" t="s">
        <v>437</v>
      </c>
      <c r="D126" s="227"/>
      <c r="E126" s="227" t="s">
        <v>307</v>
      </c>
      <c r="F126" s="219">
        <v>0.41</v>
      </c>
      <c r="G126" s="176">
        <v>10</v>
      </c>
      <c r="H126" s="125">
        <f t="shared" si="30"/>
        <v>24.599999999999998</v>
      </c>
      <c r="I126" s="125">
        <f>VLOOKUP(C126,'NHẬP KHO '!C:U,18,0)</f>
        <v>0</v>
      </c>
      <c r="J126" s="206">
        <f>VLOOKUP(C126,'XUẤT KHO'!C:Z,23,0)</f>
        <v>0</v>
      </c>
      <c r="K126" s="175">
        <f t="shared" si="27"/>
        <v>10</v>
      </c>
      <c r="L126" s="125">
        <f t="shared" si="28"/>
        <v>15.579999999999998</v>
      </c>
      <c r="M126" s="125"/>
      <c r="N126" s="222"/>
      <c r="O126" s="125"/>
    </row>
    <row r="127" spans="1:15" customFormat="1" ht="40.5" customHeight="1">
      <c r="A127" s="149">
        <v>5</v>
      </c>
      <c r="B127" s="218" t="s">
        <v>434</v>
      </c>
      <c r="C127" s="206" t="s">
        <v>435</v>
      </c>
      <c r="D127" s="206"/>
      <c r="E127" s="206" t="s">
        <v>307</v>
      </c>
      <c r="F127" s="219">
        <v>0.751</v>
      </c>
      <c r="G127" s="176"/>
      <c r="H127" s="125">
        <f t="shared" si="30"/>
        <v>0</v>
      </c>
      <c r="I127" s="125">
        <f>VLOOKUP(C127,'NHẬP KHO '!C:U,18,0)</f>
        <v>0</v>
      </c>
      <c r="J127" s="206">
        <f>VLOOKUP(C127,'XUẤT KHO'!C:Z,23,0)</f>
        <v>0</v>
      </c>
      <c r="K127" s="175">
        <f t="shared" si="27"/>
        <v>0</v>
      </c>
      <c r="L127" s="125">
        <f t="shared" si="28"/>
        <v>0</v>
      </c>
      <c r="M127" s="125"/>
      <c r="N127" s="222"/>
      <c r="O127" s="125"/>
    </row>
    <row r="128" spans="1:15" ht="36.75" customHeight="1">
      <c r="A128" s="201"/>
      <c r="B128" s="28" t="s">
        <v>308</v>
      </c>
      <c r="C128" s="231"/>
      <c r="D128" s="231"/>
      <c r="E128" s="201" t="s">
        <v>307</v>
      </c>
      <c r="F128" s="232"/>
      <c r="G128" s="233">
        <f>G122+G111+G96+G71+G62+G49+G46+G42+G38+G5</f>
        <v>772</v>
      </c>
      <c r="H128" s="125">
        <f t="shared" si="30"/>
        <v>0</v>
      </c>
      <c r="I128" s="233">
        <f>I122+I111+I96+I71+I62+I49+I46+I42+I38+I5</f>
        <v>398</v>
      </c>
      <c r="J128" s="233"/>
      <c r="K128" s="199">
        <f>K122+K111+K96+K71+K62+K49+K46+K42+K38+K5</f>
        <v>940</v>
      </c>
      <c r="L128" s="234">
        <f>L122+L111+L96+L71+L62+L49+L46+L42+L5</f>
        <v>4549.5660000000007</v>
      </c>
      <c r="M128" s="234"/>
      <c r="N128" s="232"/>
      <c r="O128" s="232"/>
    </row>
    <row r="129" spans="2:13" ht="27.75" customHeight="1">
      <c r="B129" s="30"/>
      <c r="C129" s="31"/>
      <c r="D129" s="202"/>
      <c r="E129" s="202"/>
      <c r="F129" s="202"/>
      <c r="H129" s="235"/>
      <c r="K129" s="200"/>
    </row>
    <row r="130" spans="2:13" ht="23.25" customHeight="1">
      <c r="B130" s="18"/>
      <c r="C130" s="18"/>
      <c r="D130" s="18"/>
      <c r="E130" s="18"/>
      <c r="F130" s="18"/>
      <c r="G130" s="238"/>
      <c r="H130" s="239"/>
      <c r="L130" s="237"/>
      <c r="M130" s="237"/>
    </row>
    <row r="131" spans="2:13" ht="33.75" customHeight="1">
      <c r="B131" s="32"/>
      <c r="C131" s="33"/>
      <c r="D131" s="33"/>
      <c r="E131" s="33"/>
      <c r="F131" s="33"/>
      <c r="H131" s="239"/>
    </row>
    <row r="132" spans="2:13" ht="22.5" customHeight="1">
      <c r="B132" s="34"/>
      <c r="C132" s="33"/>
      <c r="D132" s="33"/>
      <c r="E132" s="33"/>
      <c r="F132" s="33"/>
      <c r="H132" s="239"/>
    </row>
    <row r="133" spans="2:13" ht="36.75" customHeight="1">
      <c r="B133" s="235"/>
      <c r="H133" s="239"/>
    </row>
    <row r="134" spans="2:13" ht="36.75" customHeight="1">
      <c r="B134" s="235"/>
      <c r="H134" s="239"/>
    </row>
    <row r="135" spans="2:13" ht="36.75" customHeight="1">
      <c r="B135" s="239"/>
      <c r="C135" s="239"/>
      <c r="D135" s="239"/>
      <c r="E135" s="239"/>
      <c r="F135" s="239"/>
      <c r="H135" s="239"/>
    </row>
    <row r="136" spans="2:13" ht="36.75" customHeight="1">
      <c r="B136" s="239"/>
      <c r="C136" s="239"/>
      <c r="D136" s="239"/>
      <c r="E136" s="239"/>
      <c r="F136" s="239"/>
      <c r="H136" s="239"/>
    </row>
    <row r="137" spans="2:13" ht="36.75" customHeight="1">
      <c r="B137" s="239"/>
      <c r="C137" s="239"/>
      <c r="D137" s="239"/>
      <c r="E137" s="239"/>
      <c r="F137" s="239"/>
      <c r="H137" s="239"/>
    </row>
    <row r="138" spans="2:13" ht="36.75" customHeight="1">
      <c r="B138" s="239"/>
      <c r="C138" s="239"/>
      <c r="D138" s="239"/>
      <c r="E138" s="239"/>
      <c r="F138" s="239"/>
      <c r="H138" s="239"/>
    </row>
    <row r="139" spans="2:13" ht="36.75" customHeight="1">
      <c r="B139" s="239"/>
      <c r="C139" s="239"/>
      <c r="D139" s="239"/>
      <c r="E139" s="239"/>
      <c r="F139" s="239"/>
      <c r="H139" s="239"/>
    </row>
    <row r="140" spans="2:13" ht="36.75" customHeight="1">
      <c r="B140" s="239"/>
      <c r="C140" s="239"/>
      <c r="D140" s="239"/>
      <c r="E140" s="239"/>
      <c r="F140" s="239"/>
      <c r="H140" s="239"/>
    </row>
    <row r="141" spans="2:13" ht="36.75" customHeight="1">
      <c r="B141" s="239"/>
      <c r="C141" s="239"/>
      <c r="D141" s="239"/>
      <c r="E141" s="239"/>
      <c r="F141" s="239"/>
      <c r="H141" s="239"/>
    </row>
    <row r="142" spans="2:13" ht="36.75" customHeight="1">
      <c r="B142" s="239"/>
      <c r="C142" s="239"/>
      <c r="D142" s="239"/>
      <c r="E142" s="239"/>
      <c r="F142" s="239"/>
      <c r="H142" s="239"/>
    </row>
    <row r="143" spans="2:13" ht="36.75" customHeight="1">
      <c r="B143" s="239"/>
      <c r="C143" s="239"/>
      <c r="D143" s="239"/>
      <c r="E143" s="239"/>
      <c r="F143" s="239"/>
      <c r="H143" s="239"/>
    </row>
    <row r="144" spans="2:13" ht="36.75" customHeight="1">
      <c r="B144" s="239"/>
      <c r="C144" s="239"/>
      <c r="D144" s="239"/>
      <c r="E144" s="239"/>
      <c r="F144" s="239"/>
      <c r="H144" s="239"/>
    </row>
    <row r="145" spans="2:8" ht="36.75" customHeight="1">
      <c r="B145" s="239"/>
      <c r="C145" s="239"/>
      <c r="D145" s="239"/>
      <c r="E145" s="239"/>
      <c r="F145" s="239"/>
      <c r="H145" s="239"/>
    </row>
    <row r="146" spans="2:8" ht="36.75" customHeight="1">
      <c r="B146" s="239"/>
      <c r="C146" s="239"/>
      <c r="D146" s="239"/>
      <c r="E146" s="239"/>
      <c r="F146" s="239"/>
      <c r="H146" s="239"/>
    </row>
    <row r="147" spans="2:8" ht="36.75" customHeight="1">
      <c r="B147" s="239"/>
      <c r="C147" s="239"/>
      <c r="D147" s="239"/>
      <c r="E147" s="239"/>
      <c r="F147" s="239"/>
      <c r="H147" s="239"/>
    </row>
    <row r="148" spans="2:8" ht="36.75" customHeight="1">
      <c r="B148" s="239"/>
      <c r="C148" s="239"/>
      <c r="D148" s="239"/>
      <c r="E148" s="239"/>
      <c r="F148" s="239"/>
      <c r="H148" s="239"/>
    </row>
    <row r="149" spans="2:8" ht="36.75" customHeight="1">
      <c r="B149" s="239"/>
      <c r="C149" s="239"/>
      <c r="D149" s="239"/>
      <c r="E149" s="239"/>
      <c r="F149" s="239"/>
      <c r="H149" s="239"/>
    </row>
    <row r="150" spans="2:8" ht="36.75" customHeight="1">
      <c r="B150" s="239"/>
      <c r="C150" s="239"/>
      <c r="D150" s="239"/>
      <c r="E150" s="239"/>
      <c r="F150" s="239"/>
      <c r="H150" s="239"/>
    </row>
    <row r="151" spans="2:8" ht="36.75" customHeight="1">
      <c r="B151" s="239"/>
      <c r="C151" s="239"/>
      <c r="D151" s="239"/>
      <c r="E151" s="239"/>
      <c r="F151" s="239"/>
      <c r="H151" s="239"/>
    </row>
    <row r="152" spans="2:8" ht="36.75" customHeight="1">
      <c r="B152" s="239"/>
      <c r="C152" s="239"/>
      <c r="D152" s="239"/>
      <c r="E152" s="239"/>
      <c r="F152" s="239"/>
      <c r="H152" s="239"/>
    </row>
    <row r="153" spans="2:8" ht="36.75" customHeight="1">
      <c r="B153" s="239"/>
      <c r="C153" s="239"/>
      <c r="D153" s="239"/>
      <c r="E153" s="239"/>
      <c r="F153" s="239"/>
      <c r="H153" s="239"/>
    </row>
    <row r="154" spans="2:8" ht="36.75" customHeight="1">
      <c r="B154" s="239"/>
      <c r="C154" s="239"/>
      <c r="D154" s="239"/>
      <c r="E154" s="239"/>
      <c r="F154" s="239"/>
      <c r="H154" s="239"/>
    </row>
    <row r="155" spans="2:8" ht="36.75" customHeight="1">
      <c r="B155" s="239"/>
      <c r="C155" s="239"/>
      <c r="D155" s="239"/>
      <c r="E155" s="239"/>
      <c r="F155" s="239"/>
      <c r="H155" s="239"/>
    </row>
    <row r="156" spans="2:8" ht="36.75" customHeight="1">
      <c r="B156" s="239"/>
      <c r="C156" s="239"/>
      <c r="D156" s="239"/>
      <c r="E156" s="239"/>
      <c r="F156" s="239"/>
      <c r="H156" s="239"/>
    </row>
    <row r="157" spans="2:8" ht="36.75" customHeight="1">
      <c r="B157" s="239"/>
      <c r="C157" s="239"/>
      <c r="D157" s="239"/>
      <c r="E157" s="239"/>
      <c r="F157" s="239"/>
      <c r="H157" s="239"/>
    </row>
    <row r="158" spans="2:8" ht="36.75" customHeight="1">
      <c r="B158" s="239"/>
      <c r="C158" s="239"/>
      <c r="D158" s="239"/>
      <c r="E158" s="239"/>
      <c r="F158" s="239"/>
      <c r="H158" s="239"/>
    </row>
    <row r="159" spans="2:8" ht="36.75" customHeight="1">
      <c r="B159" s="239"/>
      <c r="C159" s="239"/>
      <c r="D159" s="239"/>
      <c r="E159" s="239"/>
      <c r="F159" s="239"/>
      <c r="H159" s="239"/>
    </row>
    <row r="160" spans="2:8" ht="36.75" customHeight="1">
      <c r="B160" s="239"/>
      <c r="C160" s="239"/>
      <c r="D160" s="239"/>
      <c r="E160" s="239"/>
      <c r="F160" s="239"/>
      <c r="H160" s="239"/>
    </row>
    <row r="161" spans="2:8" ht="36.75" customHeight="1">
      <c r="B161" s="239"/>
      <c r="C161" s="239"/>
      <c r="D161" s="239"/>
      <c r="E161" s="239"/>
      <c r="F161" s="239"/>
      <c r="H161" s="239"/>
    </row>
    <row r="162" spans="2:8" ht="36.75" customHeight="1">
      <c r="B162" s="239"/>
      <c r="C162" s="239"/>
      <c r="D162" s="239"/>
      <c r="E162" s="239"/>
      <c r="F162" s="239"/>
      <c r="H162" s="239"/>
    </row>
    <row r="163" spans="2:8" ht="36.75" customHeight="1">
      <c r="B163" s="239"/>
      <c r="C163" s="239"/>
      <c r="D163" s="239"/>
      <c r="E163" s="239"/>
      <c r="F163" s="239"/>
      <c r="H163" s="239"/>
    </row>
    <row r="164" spans="2:8" ht="36.75" customHeight="1">
      <c r="B164" s="239"/>
      <c r="C164" s="239"/>
      <c r="D164" s="239"/>
      <c r="E164" s="239"/>
      <c r="F164" s="239"/>
      <c r="H164" s="239"/>
    </row>
    <row r="165" spans="2:8" ht="36.75" customHeight="1">
      <c r="B165" s="239"/>
      <c r="C165" s="239"/>
      <c r="D165" s="239"/>
      <c r="E165" s="239"/>
      <c r="F165" s="239"/>
      <c r="H165" s="239"/>
    </row>
    <row r="166" spans="2:8">
      <c r="B166" s="239"/>
      <c r="C166" s="239"/>
      <c r="D166" s="239"/>
      <c r="E166" s="239"/>
      <c r="F166" s="239"/>
      <c r="H166" s="239"/>
    </row>
    <row r="167" spans="2:8">
      <c r="B167" s="239"/>
      <c r="C167" s="239"/>
      <c r="D167" s="239"/>
      <c r="E167" s="239"/>
      <c r="F167" s="239"/>
      <c r="H167" s="239"/>
    </row>
    <row r="168" spans="2:8">
      <c r="B168" s="239"/>
      <c r="C168" s="239"/>
      <c r="D168" s="239"/>
      <c r="E168" s="239"/>
      <c r="F168" s="239"/>
      <c r="H168" s="239"/>
    </row>
    <row r="169" spans="2:8">
      <c r="B169" s="239"/>
      <c r="C169" s="239"/>
      <c r="D169" s="239"/>
      <c r="E169" s="239"/>
      <c r="F169" s="239"/>
      <c r="H169" s="239"/>
    </row>
    <row r="170" spans="2:8">
      <c r="B170" s="239"/>
      <c r="C170" s="239"/>
      <c r="D170" s="239"/>
      <c r="E170" s="239"/>
      <c r="F170" s="239"/>
    </row>
    <row r="171" spans="2:8">
      <c r="B171" s="239"/>
      <c r="C171" s="239"/>
      <c r="D171" s="239"/>
      <c r="E171" s="239"/>
      <c r="F171" s="239"/>
    </row>
    <row r="172" spans="2:8">
      <c r="B172" s="239"/>
      <c r="C172" s="239"/>
      <c r="D172" s="239"/>
      <c r="E172" s="239"/>
      <c r="F172" s="239"/>
    </row>
    <row r="173" spans="2:8">
      <c r="B173" s="239"/>
      <c r="C173" s="239"/>
      <c r="D173" s="239"/>
      <c r="E173" s="239"/>
      <c r="F173" s="239"/>
    </row>
    <row r="174" spans="2:8">
      <c r="B174" s="239"/>
      <c r="C174" s="239"/>
      <c r="D174" s="239"/>
      <c r="E174" s="239"/>
      <c r="F174" s="239"/>
    </row>
  </sheetData>
  <autoFilter ref="A3:O129"/>
  <pageMargins left="0.25" right="0.25" top="0.28999999999999998" bottom="0.28000000000000003" header="0.3" footer="0.3"/>
  <pageSetup scale="51" fitToHeight="0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AutoCAD.Drawing.24" shapeId="28673" r:id="rId4">
          <objectPr defaultSize="0" autoPict="0" r:id="rId5">
            <anchor moveWithCells="1">
              <from>
                <xdr:col>3</xdr:col>
                <xdr:colOff>257175</xdr:colOff>
                <xdr:row>103</xdr:row>
                <xdr:rowOff>76200</xdr:rowOff>
              </from>
              <to>
                <xdr:col>3</xdr:col>
                <xdr:colOff>1143000</xdr:colOff>
                <xdr:row>103</xdr:row>
                <xdr:rowOff>447675</xdr:rowOff>
              </to>
            </anchor>
          </objectPr>
        </oleObject>
      </mc:Choice>
      <mc:Fallback>
        <oleObject progId="AutoCAD.Drawing.24" shapeId="286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74"/>
  <sheetViews>
    <sheetView zoomScale="64" zoomScaleNormal="64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R11" sqref="R11"/>
    </sheetView>
  </sheetViews>
  <sheetFormatPr defaultColWidth="9.140625" defaultRowHeight="15.75"/>
  <cols>
    <col min="1" max="1" width="6.85546875" style="57" customWidth="1"/>
    <col min="2" max="2" width="25.7109375" style="91" customWidth="1"/>
    <col min="3" max="3" width="14" style="57" customWidth="1"/>
    <col min="4" max="4" width="14.5703125" style="57" customWidth="1"/>
    <col min="5" max="5" width="16.28515625" style="57" customWidth="1"/>
    <col min="6" max="6" width="10.28515625" style="57" customWidth="1"/>
    <col min="7" max="7" width="8.5703125" style="121" customWidth="1"/>
    <col min="8" max="16" width="9.5703125" style="57" customWidth="1"/>
    <col min="17" max="17" width="9.5703125" style="73" customWidth="1"/>
    <col min="18" max="24" width="9.5703125" style="57" customWidth="1"/>
    <col min="25" max="25" width="17.42578125" style="57" customWidth="1"/>
    <col min="26" max="26" width="21.5703125" style="57" customWidth="1"/>
    <col min="27" max="27" width="13.140625" style="57" bestFit="1" customWidth="1"/>
    <col min="28" max="28" width="9.140625" style="57"/>
    <col min="29" max="29" width="13.140625" style="57" bestFit="1" customWidth="1"/>
    <col min="30" max="16384" width="9.140625" style="57"/>
  </cols>
  <sheetData>
    <row r="1" spans="1:26" ht="46.5" customHeight="1">
      <c r="B1" s="58"/>
      <c r="C1" s="17"/>
      <c r="D1" s="58"/>
      <c r="E1" s="58"/>
      <c r="F1" s="58"/>
      <c r="G1" s="107"/>
      <c r="H1" s="59"/>
      <c r="I1" s="59"/>
      <c r="J1" s="59"/>
      <c r="K1" s="59"/>
      <c r="L1" s="59"/>
      <c r="M1" s="59"/>
      <c r="N1" s="59"/>
      <c r="O1" s="59"/>
      <c r="P1" s="59"/>
      <c r="Q1" s="172"/>
      <c r="R1" s="59"/>
      <c r="S1" s="59"/>
      <c r="T1" s="59"/>
      <c r="U1" s="59"/>
      <c r="V1" s="59"/>
      <c r="W1" s="59"/>
      <c r="X1" s="59"/>
      <c r="Y1" s="59"/>
      <c r="Z1" s="59"/>
    </row>
    <row r="2" spans="1:26" ht="72" customHeight="1">
      <c r="A2" s="60" t="s">
        <v>244</v>
      </c>
      <c r="B2" s="61" t="s">
        <v>241</v>
      </c>
      <c r="C2" s="60" t="s">
        <v>242</v>
      </c>
      <c r="D2" s="60" t="s">
        <v>243</v>
      </c>
      <c r="E2" s="60" t="s">
        <v>303</v>
      </c>
      <c r="F2" s="100" t="s">
        <v>397</v>
      </c>
      <c r="G2" s="108" t="s">
        <v>426</v>
      </c>
      <c r="H2" s="153" t="s">
        <v>469</v>
      </c>
      <c r="I2" s="153" t="s">
        <v>473</v>
      </c>
      <c r="J2" s="285" t="s">
        <v>480</v>
      </c>
      <c r="K2" s="286"/>
      <c r="L2" s="153"/>
      <c r="M2" s="154"/>
      <c r="N2" s="154"/>
      <c r="O2" s="154"/>
      <c r="P2" s="154"/>
      <c r="Q2" s="154"/>
      <c r="R2" s="152"/>
      <c r="S2" s="152"/>
      <c r="T2" s="152"/>
      <c r="U2" s="152"/>
      <c r="V2" s="152"/>
      <c r="W2" s="152"/>
      <c r="X2" s="152"/>
      <c r="Y2" s="60" t="s">
        <v>323</v>
      </c>
      <c r="Z2" s="60" t="s">
        <v>324</v>
      </c>
    </row>
    <row r="3" spans="1:26" ht="89.25" customHeight="1">
      <c r="A3" s="62" t="s">
        <v>316</v>
      </c>
      <c r="B3" s="63"/>
      <c r="C3" s="62"/>
      <c r="D3" s="62"/>
      <c r="E3" s="62"/>
      <c r="F3" s="60" t="s">
        <v>327</v>
      </c>
      <c r="G3" s="109"/>
      <c r="H3" s="158" t="s">
        <v>468</v>
      </c>
      <c r="I3" s="158" t="s">
        <v>472</v>
      </c>
      <c r="J3" s="159" t="s">
        <v>479</v>
      </c>
      <c r="K3" s="159" t="s">
        <v>486</v>
      </c>
      <c r="L3" s="159" t="s">
        <v>483</v>
      </c>
      <c r="M3" s="159"/>
      <c r="N3" s="160"/>
      <c r="O3" s="159"/>
      <c r="P3" s="159"/>
      <c r="Q3" s="159"/>
      <c r="R3" s="160"/>
      <c r="S3" s="160"/>
      <c r="T3" s="160"/>
      <c r="U3" s="159"/>
      <c r="V3" s="159"/>
      <c r="W3" s="159"/>
      <c r="X3" s="159"/>
      <c r="Y3" s="161" t="s">
        <v>318</v>
      </c>
      <c r="Z3" s="161" t="s">
        <v>321</v>
      </c>
    </row>
    <row r="4" spans="1:26" ht="54" customHeight="1">
      <c r="A4" s="282" t="s">
        <v>481</v>
      </c>
      <c r="B4" s="283"/>
      <c r="C4" s="283"/>
      <c r="D4" s="283"/>
      <c r="E4" s="284"/>
      <c r="F4" s="203"/>
      <c r="G4" s="204"/>
      <c r="H4" s="205">
        <f t="shared" ref="H4:X4" si="0">SUM(H5:H127)</f>
        <v>2</v>
      </c>
      <c r="I4" s="205">
        <f t="shared" si="0"/>
        <v>165</v>
      </c>
      <c r="J4" s="205">
        <f t="shared" si="0"/>
        <v>53</v>
      </c>
      <c r="K4" s="205">
        <f t="shared" si="0"/>
        <v>10</v>
      </c>
      <c r="L4" s="205">
        <f t="shared" si="0"/>
        <v>0</v>
      </c>
      <c r="M4" s="205">
        <f t="shared" si="0"/>
        <v>0</v>
      </c>
      <c r="N4" s="205">
        <f t="shared" si="0"/>
        <v>0</v>
      </c>
      <c r="O4" s="205">
        <f t="shared" si="0"/>
        <v>0</v>
      </c>
      <c r="P4" s="205">
        <f t="shared" si="0"/>
        <v>0</v>
      </c>
      <c r="Q4" s="205">
        <f t="shared" si="0"/>
        <v>0</v>
      </c>
      <c r="R4" s="205">
        <f t="shared" si="0"/>
        <v>0</v>
      </c>
      <c r="S4" s="205">
        <f t="shared" si="0"/>
        <v>0</v>
      </c>
      <c r="T4" s="205">
        <f t="shared" si="0"/>
        <v>0</v>
      </c>
      <c r="U4" s="205">
        <f t="shared" si="0"/>
        <v>0</v>
      </c>
      <c r="V4" s="205">
        <f t="shared" si="0"/>
        <v>0</v>
      </c>
      <c r="W4" s="205">
        <f t="shared" si="0"/>
        <v>0</v>
      </c>
      <c r="X4" s="205">
        <f t="shared" si="0"/>
        <v>0</v>
      </c>
      <c r="Y4" s="259">
        <f>Y122+Y111+Y96+Y71+Y62+Y49+Y46+Y42+Y38+Y5</f>
        <v>230</v>
      </c>
      <c r="Z4" s="203"/>
    </row>
    <row r="5" spans="1:26" ht="39.75" customHeight="1">
      <c r="A5" s="65" t="s">
        <v>297</v>
      </c>
      <c r="B5" s="66" t="s">
        <v>121</v>
      </c>
      <c r="C5" s="66"/>
      <c r="D5" s="66"/>
      <c r="E5" s="65" t="s">
        <v>307</v>
      </c>
      <c r="F5" s="65"/>
      <c r="G5" s="110"/>
      <c r="H5" s="180"/>
      <c r="I5" s="180"/>
      <c r="J5" s="180"/>
      <c r="K5" s="180"/>
      <c r="L5" s="180"/>
      <c r="M5" s="180"/>
      <c r="N5" s="180"/>
      <c r="O5" s="180"/>
      <c r="P5" s="180"/>
      <c r="Q5" s="67"/>
      <c r="R5" s="180"/>
      <c r="S5" s="180"/>
      <c r="T5" s="181"/>
      <c r="U5" s="180"/>
      <c r="V5" s="180"/>
      <c r="W5" s="180"/>
      <c r="X5" s="180"/>
      <c r="Y5" s="67">
        <f>SUM(Y6:Y37)</f>
        <v>85</v>
      </c>
      <c r="Z5" s="179">
        <f>SUM(Z6:Z37)</f>
        <v>254.73</v>
      </c>
    </row>
    <row r="6" spans="1:26" ht="36" customHeight="1">
      <c r="A6" s="49">
        <v>1</v>
      </c>
      <c r="B6" s="68" t="s">
        <v>122</v>
      </c>
      <c r="C6" s="49" t="s">
        <v>123</v>
      </c>
      <c r="D6" s="49"/>
      <c r="E6" s="49" t="s">
        <v>307</v>
      </c>
      <c r="F6" s="69">
        <v>0.84199999999999997</v>
      </c>
      <c r="G6" s="111">
        <v>6</v>
      </c>
      <c r="H6" s="44"/>
      <c r="I6" s="44"/>
      <c r="J6" s="44">
        <v>6</v>
      </c>
      <c r="K6" s="44"/>
      <c r="L6" s="245"/>
      <c r="M6" s="44"/>
      <c r="N6" s="44"/>
      <c r="O6" s="44"/>
      <c r="P6" s="44"/>
      <c r="Q6" s="44"/>
      <c r="R6" s="44"/>
      <c r="S6" s="44"/>
      <c r="T6" s="128"/>
      <c r="U6" s="44"/>
      <c r="V6" s="44"/>
      <c r="W6" s="44"/>
      <c r="X6" s="44"/>
      <c r="Y6" s="72">
        <f t="shared" ref="Y6:Y37" si="1">SUM(H6:X6)</f>
        <v>6</v>
      </c>
      <c r="Z6" s="177">
        <f t="shared" ref="Z6:Z37" si="2">F6*Y6*6</f>
        <v>30.311999999999998</v>
      </c>
    </row>
    <row r="7" spans="1:26" ht="36" customHeight="1">
      <c r="A7" s="49">
        <v>2</v>
      </c>
      <c r="B7" s="68" t="s">
        <v>124</v>
      </c>
      <c r="C7" s="49" t="s">
        <v>125</v>
      </c>
      <c r="D7" s="49"/>
      <c r="E7" s="49" t="s">
        <v>307</v>
      </c>
      <c r="F7" s="123">
        <v>0.88700000000000001</v>
      </c>
      <c r="G7" s="111">
        <v>6</v>
      </c>
      <c r="H7" s="44"/>
      <c r="I7" s="44"/>
      <c r="J7" s="44">
        <v>3</v>
      </c>
      <c r="K7" s="44"/>
      <c r="L7" s="245"/>
      <c r="M7" s="44"/>
      <c r="N7" s="44"/>
      <c r="O7" s="44"/>
      <c r="P7" s="44"/>
      <c r="Q7" s="44"/>
      <c r="R7" s="44"/>
      <c r="S7" s="44"/>
      <c r="T7" s="128"/>
      <c r="U7" s="44"/>
      <c r="V7" s="44"/>
      <c r="W7" s="44"/>
      <c r="X7" s="44"/>
      <c r="Y7" s="72">
        <f t="shared" si="1"/>
        <v>3</v>
      </c>
      <c r="Z7" s="177">
        <f t="shared" si="2"/>
        <v>15.966000000000001</v>
      </c>
    </row>
    <row r="8" spans="1:26" ht="36" customHeight="1">
      <c r="A8" s="49">
        <v>3</v>
      </c>
      <c r="B8" s="68" t="s">
        <v>126</v>
      </c>
      <c r="C8" s="49" t="s">
        <v>127</v>
      </c>
      <c r="D8" s="49"/>
      <c r="E8" s="49" t="s">
        <v>307</v>
      </c>
      <c r="F8" s="123">
        <v>0.79800000000000004</v>
      </c>
      <c r="G8" s="111">
        <v>6</v>
      </c>
      <c r="H8" s="44"/>
      <c r="I8" s="44"/>
      <c r="J8" s="44"/>
      <c r="K8" s="44"/>
      <c r="L8" s="245"/>
      <c r="M8" s="44"/>
      <c r="N8" s="44"/>
      <c r="O8" s="44"/>
      <c r="P8" s="44"/>
      <c r="Q8" s="44"/>
      <c r="R8" s="44"/>
      <c r="S8" s="44"/>
      <c r="T8" s="128"/>
      <c r="U8" s="44"/>
      <c r="V8" s="44"/>
      <c r="W8" s="44"/>
      <c r="X8" s="44"/>
      <c r="Y8" s="72">
        <f t="shared" si="1"/>
        <v>0</v>
      </c>
      <c r="Z8" s="177">
        <f t="shared" si="2"/>
        <v>0</v>
      </c>
    </row>
    <row r="9" spans="1:26" ht="36" customHeight="1">
      <c r="A9" s="49">
        <v>4</v>
      </c>
      <c r="B9" s="68" t="s">
        <v>128</v>
      </c>
      <c r="C9" s="49" t="s">
        <v>276</v>
      </c>
      <c r="D9" s="49"/>
      <c r="E9" s="49" t="s">
        <v>307</v>
      </c>
      <c r="F9" s="123">
        <v>1.127</v>
      </c>
      <c r="G9" s="111">
        <v>6</v>
      </c>
      <c r="H9" s="44"/>
      <c r="I9" s="44"/>
      <c r="J9" s="44"/>
      <c r="K9" s="44"/>
      <c r="L9" s="245"/>
      <c r="M9" s="44"/>
      <c r="N9" s="44"/>
      <c r="O9" s="44"/>
      <c r="P9" s="44"/>
      <c r="Q9" s="44"/>
      <c r="R9" s="44"/>
      <c r="S9" s="44"/>
      <c r="T9" s="128"/>
      <c r="U9" s="44"/>
      <c r="V9" s="44"/>
      <c r="W9" s="44"/>
      <c r="X9" s="44"/>
      <c r="Y9" s="72">
        <f t="shared" si="1"/>
        <v>0</v>
      </c>
      <c r="Z9" s="177">
        <f t="shared" si="2"/>
        <v>0</v>
      </c>
    </row>
    <row r="10" spans="1:26" ht="36" customHeight="1">
      <c r="A10" s="49">
        <v>5</v>
      </c>
      <c r="B10" s="68" t="s">
        <v>194</v>
      </c>
      <c r="C10" s="49" t="s">
        <v>130</v>
      </c>
      <c r="D10" s="49"/>
      <c r="E10" s="49" t="s">
        <v>307</v>
      </c>
      <c r="F10" s="123">
        <v>1.056</v>
      </c>
      <c r="G10" s="111">
        <v>6</v>
      </c>
      <c r="H10" s="44"/>
      <c r="I10" s="44"/>
      <c r="J10" s="44"/>
      <c r="K10" s="44"/>
      <c r="L10" s="245"/>
      <c r="M10" s="44"/>
      <c r="N10" s="44"/>
      <c r="O10" s="44"/>
      <c r="P10" s="44"/>
      <c r="Q10" s="44"/>
      <c r="R10" s="44"/>
      <c r="S10" s="44"/>
      <c r="T10" s="128"/>
      <c r="U10" s="44"/>
      <c r="V10" s="44"/>
      <c r="W10" s="44"/>
      <c r="X10" s="44"/>
      <c r="Y10" s="72">
        <f t="shared" si="1"/>
        <v>0</v>
      </c>
      <c r="Z10" s="177">
        <f t="shared" si="2"/>
        <v>0</v>
      </c>
    </row>
    <row r="11" spans="1:26" ht="36" customHeight="1">
      <c r="A11" s="49">
        <v>6</v>
      </c>
      <c r="B11" s="68" t="s">
        <v>131</v>
      </c>
      <c r="C11" s="49" t="s">
        <v>132</v>
      </c>
      <c r="D11" s="49"/>
      <c r="E11" s="49" t="s">
        <v>307</v>
      </c>
      <c r="F11" s="123">
        <v>1.0009999999999999</v>
      </c>
      <c r="G11" s="111">
        <v>6</v>
      </c>
      <c r="H11" s="44"/>
      <c r="I11" s="44">
        <v>1</v>
      </c>
      <c r="J11" s="44"/>
      <c r="K11" s="44"/>
      <c r="L11" s="245"/>
      <c r="M11" s="44"/>
      <c r="N11" s="44"/>
      <c r="O11" s="44"/>
      <c r="P11" s="44"/>
      <c r="Q11" s="44"/>
      <c r="R11" s="44"/>
      <c r="S11" s="44"/>
      <c r="T11" s="128"/>
      <c r="U11" s="44"/>
      <c r="V11" s="44"/>
      <c r="W11" s="44"/>
      <c r="X11" s="44"/>
      <c r="Y11" s="72">
        <f t="shared" si="1"/>
        <v>1</v>
      </c>
      <c r="Z11" s="177">
        <f t="shared" si="2"/>
        <v>6.0059999999999993</v>
      </c>
    </row>
    <row r="12" spans="1:26" ht="36" customHeight="1">
      <c r="A12" s="49">
        <v>7</v>
      </c>
      <c r="B12" s="68" t="s">
        <v>3</v>
      </c>
      <c r="C12" s="49" t="s">
        <v>136</v>
      </c>
      <c r="D12" s="49"/>
      <c r="E12" s="49" t="s">
        <v>307</v>
      </c>
      <c r="F12" s="70">
        <v>1.286</v>
      </c>
      <c r="G12" s="111">
        <v>6</v>
      </c>
      <c r="H12" s="44"/>
      <c r="I12" s="44"/>
      <c r="J12" s="44">
        <v>4</v>
      </c>
      <c r="K12" s="44"/>
      <c r="L12" s="245"/>
      <c r="M12" s="44"/>
      <c r="N12" s="44"/>
      <c r="O12" s="44"/>
      <c r="P12" s="44"/>
      <c r="Q12" s="44"/>
      <c r="R12" s="44"/>
      <c r="S12" s="44"/>
      <c r="T12" s="128"/>
      <c r="U12" s="44"/>
      <c r="V12" s="44"/>
      <c r="W12" s="44"/>
      <c r="X12" s="44"/>
      <c r="Y12" s="72">
        <f t="shared" si="1"/>
        <v>4</v>
      </c>
      <c r="Z12" s="177">
        <f t="shared" si="2"/>
        <v>30.864000000000001</v>
      </c>
    </row>
    <row r="13" spans="1:26" ht="36" customHeight="1">
      <c r="A13" s="49">
        <v>8</v>
      </c>
      <c r="B13" s="68" t="s">
        <v>192</v>
      </c>
      <c r="C13" s="49" t="s">
        <v>273</v>
      </c>
      <c r="D13" s="49"/>
      <c r="E13" s="49" t="s">
        <v>307</v>
      </c>
      <c r="F13" s="70">
        <v>1.496</v>
      </c>
      <c r="G13" s="111">
        <v>6</v>
      </c>
      <c r="H13" s="44"/>
      <c r="I13" s="44"/>
      <c r="J13" s="44"/>
      <c r="K13" s="44"/>
      <c r="L13" s="245"/>
      <c r="M13" s="44"/>
      <c r="N13" s="44"/>
      <c r="O13" s="44"/>
      <c r="P13" s="44"/>
      <c r="Q13" s="44"/>
      <c r="R13" s="44"/>
      <c r="S13" s="44"/>
      <c r="T13" s="128"/>
      <c r="U13" s="44"/>
      <c r="V13" s="44"/>
      <c r="W13" s="44"/>
      <c r="X13" s="44"/>
      <c r="Y13" s="72">
        <f t="shared" si="1"/>
        <v>0</v>
      </c>
      <c r="Z13" s="177">
        <f t="shared" si="2"/>
        <v>0</v>
      </c>
    </row>
    <row r="14" spans="1:26" ht="36" customHeight="1">
      <c r="A14" s="49">
        <v>9</v>
      </c>
      <c r="B14" s="68" t="s">
        <v>191</v>
      </c>
      <c r="C14" s="49" t="s">
        <v>274</v>
      </c>
      <c r="D14" s="49"/>
      <c r="E14" s="49" t="s">
        <v>307</v>
      </c>
      <c r="F14" s="70">
        <v>1.496</v>
      </c>
      <c r="G14" s="111">
        <v>6</v>
      </c>
      <c r="H14" s="44"/>
      <c r="I14" s="44"/>
      <c r="J14" s="44"/>
      <c r="K14" s="44"/>
      <c r="L14" s="245"/>
      <c r="M14" s="44"/>
      <c r="N14" s="44"/>
      <c r="O14" s="44"/>
      <c r="P14" s="44"/>
      <c r="Q14" s="44"/>
      <c r="R14" s="44"/>
      <c r="S14" s="44"/>
      <c r="T14" s="128"/>
      <c r="U14" s="44"/>
      <c r="V14" s="44"/>
      <c r="W14" s="44"/>
      <c r="X14" s="44"/>
      <c r="Y14" s="72">
        <f t="shared" si="1"/>
        <v>0</v>
      </c>
      <c r="Z14" s="177">
        <f t="shared" si="2"/>
        <v>0</v>
      </c>
    </row>
    <row r="15" spans="1:26" ht="36" customHeight="1">
      <c r="A15" s="49">
        <v>10</v>
      </c>
      <c r="B15" s="68" t="s">
        <v>193</v>
      </c>
      <c r="C15" s="49" t="s">
        <v>275</v>
      </c>
      <c r="D15" s="49"/>
      <c r="E15" s="49" t="s">
        <v>307</v>
      </c>
      <c r="F15" s="70">
        <v>2.1070000000000002</v>
      </c>
      <c r="G15" s="111">
        <v>6</v>
      </c>
      <c r="H15" s="44"/>
      <c r="I15" s="44"/>
      <c r="J15" s="44"/>
      <c r="K15" s="44"/>
      <c r="L15" s="245"/>
      <c r="M15" s="44"/>
      <c r="N15" s="44"/>
      <c r="O15" s="44"/>
      <c r="P15" s="44"/>
      <c r="Q15" s="44"/>
      <c r="R15" s="44"/>
      <c r="S15" s="44"/>
      <c r="T15" s="128"/>
      <c r="U15" s="44"/>
      <c r="V15" s="44"/>
      <c r="W15" s="44"/>
      <c r="X15" s="44"/>
      <c r="Y15" s="72">
        <f t="shared" si="1"/>
        <v>0</v>
      </c>
      <c r="Z15" s="177">
        <f t="shared" si="2"/>
        <v>0</v>
      </c>
    </row>
    <row r="16" spans="1:26" ht="36" customHeight="1">
      <c r="A16" s="49">
        <v>11</v>
      </c>
      <c r="B16" s="68" t="s">
        <v>140</v>
      </c>
      <c r="C16" s="49" t="s">
        <v>141</v>
      </c>
      <c r="D16" s="49"/>
      <c r="E16" s="49" t="s">
        <v>307</v>
      </c>
      <c r="F16" s="70">
        <v>0.82799999999999996</v>
      </c>
      <c r="G16" s="111">
        <v>6</v>
      </c>
      <c r="H16" s="44"/>
      <c r="I16" s="44"/>
      <c r="J16" s="44">
        <v>1</v>
      </c>
      <c r="K16" s="44"/>
      <c r="L16" s="245"/>
      <c r="M16" s="44"/>
      <c r="N16" s="44"/>
      <c r="O16" s="44"/>
      <c r="P16" s="44"/>
      <c r="Q16" s="44"/>
      <c r="R16" s="44"/>
      <c r="S16" s="44"/>
      <c r="T16" s="128"/>
      <c r="U16" s="44"/>
      <c r="V16" s="44"/>
      <c r="W16" s="44"/>
      <c r="X16" s="44"/>
      <c r="Y16" s="72">
        <f t="shared" si="1"/>
        <v>1</v>
      </c>
      <c r="Z16" s="177">
        <f t="shared" si="2"/>
        <v>4.968</v>
      </c>
    </row>
    <row r="17" spans="1:26" ht="36" customHeight="1">
      <c r="A17" s="49">
        <v>12</v>
      </c>
      <c r="B17" s="68" t="s">
        <v>142</v>
      </c>
      <c r="C17" s="49" t="s">
        <v>143</v>
      </c>
      <c r="D17" s="49"/>
      <c r="E17" s="49" t="s">
        <v>307</v>
      </c>
      <c r="F17" s="70">
        <v>0.44800000000000001</v>
      </c>
      <c r="G17" s="111">
        <v>6</v>
      </c>
      <c r="H17" s="44"/>
      <c r="I17" s="44"/>
      <c r="J17" s="44"/>
      <c r="K17" s="44"/>
      <c r="L17" s="245"/>
      <c r="M17" s="44"/>
      <c r="N17" s="44"/>
      <c r="O17" s="44"/>
      <c r="P17" s="44"/>
      <c r="Q17" s="44"/>
      <c r="R17" s="44"/>
      <c r="S17" s="44"/>
      <c r="T17" s="128"/>
      <c r="U17" s="44"/>
      <c r="V17" s="44"/>
      <c r="W17" s="44"/>
      <c r="X17" s="44"/>
      <c r="Y17" s="72">
        <f t="shared" si="1"/>
        <v>0</v>
      </c>
      <c r="Z17" s="177">
        <f t="shared" si="2"/>
        <v>0</v>
      </c>
    </row>
    <row r="18" spans="1:26" ht="36" customHeight="1">
      <c r="A18" s="49">
        <v>13</v>
      </c>
      <c r="B18" s="68" t="s">
        <v>144</v>
      </c>
      <c r="C18" s="49" t="s">
        <v>145</v>
      </c>
      <c r="D18" s="49"/>
      <c r="E18" s="49" t="s">
        <v>307</v>
      </c>
      <c r="F18" s="70">
        <v>0.23799999999999999</v>
      </c>
      <c r="G18" s="111">
        <v>6</v>
      </c>
      <c r="H18" s="44"/>
      <c r="I18" s="44"/>
      <c r="J18" s="44">
        <v>8</v>
      </c>
      <c r="K18" s="44"/>
      <c r="L18" s="245"/>
      <c r="M18" s="44"/>
      <c r="N18" s="44"/>
      <c r="O18" s="44"/>
      <c r="P18" s="44"/>
      <c r="Q18" s="44"/>
      <c r="R18" s="44"/>
      <c r="S18" s="44"/>
      <c r="T18" s="128"/>
      <c r="U18" s="44"/>
      <c r="V18" s="44"/>
      <c r="W18" s="44"/>
      <c r="X18" s="44"/>
      <c r="Y18" s="72">
        <f t="shared" si="1"/>
        <v>8</v>
      </c>
      <c r="Z18" s="177">
        <f t="shared" si="2"/>
        <v>11.423999999999999</v>
      </c>
    </row>
    <row r="19" spans="1:26" ht="36" customHeight="1">
      <c r="A19" s="49">
        <v>14</v>
      </c>
      <c r="B19" s="68" t="s">
        <v>146</v>
      </c>
      <c r="C19" s="49" t="s">
        <v>147</v>
      </c>
      <c r="D19" s="49"/>
      <c r="E19" s="49" t="s">
        <v>307</v>
      </c>
      <c r="F19" s="70">
        <v>0.246</v>
      </c>
      <c r="G19" s="111">
        <v>6</v>
      </c>
      <c r="H19" s="44"/>
      <c r="I19" s="44"/>
      <c r="J19" s="44"/>
      <c r="K19" s="44"/>
      <c r="L19" s="245"/>
      <c r="M19" s="44"/>
      <c r="N19" s="44"/>
      <c r="O19" s="44"/>
      <c r="P19" s="44"/>
      <c r="Q19" s="44"/>
      <c r="R19" s="44"/>
      <c r="S19" s="44"/>
      <c r="T19" s="128"/>
      <c r="U19" s="44"/>
      <c r="V19" s="44"/>
      <c r="W19" s="44"/>
      <c r="X19" s="44"/>
      <c r="Y19" s="72">
        <f t="shared" si="1"/>
        <v>0</v>
      </c>
      <c r="Z19" s="177">
        <f t="shared" si="2"/>
        <v>0</v>
      </c>
    </row>
    <row r="20" spans="1:26" ht="36" customHeight="1">
      <c r="A20" s="49">
        <v>15</v>
      </c>
      <c r="B20" s="68" t="s">
        <v>148</v>
      </c>
      <c r="C20" s="49" t="s">
        <v>149</v>
      </c>
      <c r="D20" s="49"/>
      <c r="E20" s="49" t="s">
        <v>307</v>
      </c>
      <c r="F20" s="70">
        <v>0.23799999999999999</v>
      </c>
      <c r="G20" s="111">
        <v>6</v>
      </c>
      <c r="H20" s="44"/>
      <c r="I20" s="44">
        <v>1</v>
      </c>
      <c r="J20" s="44"/>
      <c r="K20" s="44"/>
      <c r="L20" s="245"/>
      <c r="M20" s="44"/>
      <c r="N20" s="44"/>
      <c r="O20" s="44"/>
      <c r="P20" s="44"/>
      <c r="Q20" s="44"/>
      <c r="R20" s="44"/>
      <c r="S20" s="44"/>
      <c r="T20" s="128"/>
      <c r="U20" s="44"/>
      <c r="V20" s="44"/>
      <c r="W20" s="44"/>
      <c r="X20" s="44"/>
      <c r="Y20" s="72">
        <f t="shared" si="1"/>
        <v>1</v>
      </c>
      <c r="Z20" s="177">
        <f t="shared" si="2"/>
        <v>1.4279999999999999</v>
      </c>
    </row>
    <row r="21" spans="1:26" ht="36" customHeight="1">
      <c r="A21" s="49">
        <v>16</v>
      </c>
      <c r="B21" s="68" t="s">
        <v>150</v>
      </c>
      <c r="C21" s="49" t="s">
        <v>151</v>
      </c>
      <c r="D21" s="49"/>
      <c r="E21" s="49" t="s">
        <v>307</v>
      </c>
      <c r="F21" s="70">
        <v>0.23799999999999999</v>
      </c>
      <c r="G21" s="111">
        <v>6</v>
      </c>
      <c r="H21" s="44"/>
      <c r="I21" s="44"/>
      <c r="J21" s="44"/>
      <c r="K21" s="44"/>
      <c r="L21" s="245"/>
      <c r="M21" s="44"/>
      <c r="N21" s="44"/>
      <c r="O21" s="44"/>
      <c r="P21" s="44"/>
      <c r="Q21" s="44"/>
      <c r="R21" s="44"/>
      <c r="S21" s="44"/>
      <c r="T21" s="128"/>
      <c r="U21" s="44"/>
      <c r="V21" s="44"/>
      <c r="W21" s="44"/>
      <c r="X21" s="44"/>
      <c r="Y21" s="72">
        <f t="shared" si="1"/>
        <v>0</v>
      </c>
      <c r="Z21" s="177">
        <f t="shared" si="2"/>
        <v>0</v>
      </c>
    </row>
    <row r="22" spans="1:26" ht="36" customHeight="1">
      <c r="A22" s="49">
        <v>17</v>
      </c>
      <c r="B22" s="68" t="s">
        <v>152</v>
      </c>
      <c r="C22" s="49" t="s">
        <v>153</v>
      </c>
      <c r="D22" s="49"/>
      <c r="E22" s="49" t="s">
        <v>307</v>
      </c>
      <c r="F22" s="70">
        <v>0.23300000000000001</v>
      </c>
      <c r="G22" s="111">
        <v>6</v>
      </c>
      <c r="H22" s="44"/>
      <c r="I22" s="44"/>
      <c r="J22" s="44"/>
      <c r="K22" s="44"/>
      <c r="L22" s="245"/>
      <c r="M22" s="44"/>
      <c r="N22" s="44"/>
      <c r="O22" s="44"/>
      <c r="P22" s="44"/>
      <c r="Q22" s="44"/>
      <c r="R22" s="44"/>
      <c r="S22" s="44"/>
      <c r="T22" s="128"/>
      <c r="U22" s="44"/>
      <c r="V22" s="44"/>
      <c r="W22" s="44"/>
      <c r="X22" s="44"/>
      <c r="Y22" s="72">
        <f t="shared" si="1"/>
        <v>0</v>
      </c>
      <c r="Z22" s="177">
        <f t="shared" si="2"/>
        <v>0</v>
      </c>
    </row>
    <row r="23" spans="1:26" ht="36" customHeight="1">
      <c r="A23" s="49">
        <v>18</v>
      </c>
      <c r="B23" s="68" t="s">
        <v>154</v>
      </c>
      <c r="C23" s="49" t="s">
        <v>155</v>
      </c>
      <c r="D23" s="49"/>
      <c r="E23" s="49" t="s">
        <v>307</v>
      </c>
      <c r="F23" s="70">
        <v>0.93300000000000005</v>
      </c>
      <c r="G23" s="111">
        <v>6</v>
      </c>
      <c r="H23" s="44"/>
      <c r="I23" s="44"/>
      <c r="J23" s="44"/>
      <c r="K23" s="44"/>
      <c r="L23" s="245"/>
      <c r="M23" s="44"/>
      <c r="N23" s="44"/>
      <c r="O23" s="44"/>
      <c r="P23" s="44"/>
      <c r="Q23" s="44"/>
      <c r="R23" s="44"/>
      <c r="S23" s="44"/>
      <c r="T23" s="128"/>
      <c r="U23" s="44"/>
      <c r="V23" s="44"/>
      <c r="W23" s="44"/>
      <c r="X23" s="44"/>
      <c r="Y23" s="72">
        <f t="shared" si="1"/>
        <v>0</v>
      </c>
      <c r="Z23" s="177">
        <f t="shared" si="2"/>
        <v>0</v>
      </c>
    </row>
    <row r="24" spans="1:26" ht="36" customHeight="1">
      <c r="A24" s="49">
        <v>19</v>
      </c>
      <c r="B24" s="68" t="s">
        <v>156</v>
      </c>
      <c r="C24" s="49" t="s">
        <v>157</v>
      </c>
      <c r="D24" s="49"/>
      <c r="E24" s="49" t="s">
        <v>307</v>
      </c>
      <c r="F24" s="70">
        <v>1.371</v>
      </c>
      <c r="G24" s="111">
        <v>6</v>
      </c>
      <c r="H24" s="44"/>
      <c r="I24" s="44"/>
      <c r="J24" s="44"/>
      <c r="K24" s="44"/>
      <c r="L24" s="245"/>
      <c r="M24" s="44"/>
      <c r="N24" s="44"/>
      <c r="O24" s="44"/>
      <c r="P24" s="44"/>
      <c r="Q24" s="44"/>
      <c r="R24" s="44"/>
      <c r="S24" s="44"/>
      <c r="T24" s="128"/>
      <c r="U24" s="44"/>
      <c r="V24" s="44"/>
      <c r="W24" s="44"/>
      <c r="X24" s="44"/>
      <c r="Y24" s="72">
        <f t="shared" si="1"/>
        <v>0</v>
      </c>
      <c r="Z24" s="177">
        <f t="shared" si="2"/>
        <v>0</v>
      </c>
    </row>
    <row r="25" spans="1:26" ht="36" customHeight="1">
      <c r="A25" s="49">
        <v>20</v>
      </c>
      <c r="B25" s="68" t="s">
        <v>166</v>
      </c>
      <c r="C25" s="49" t="s">
        <v>167</v>
      </c>
      <c r="D25" s="49"/>
      <c r="E25" s="49" t="s">
        <v>307</v>
      </c>
      <c r="F25" s="70">
        <v>0.96199999999999997</v>
      </c>
      <c r="G25" s="111">
        <v>6</v>
      </c>
      <c r="H25" s="44"/>
      <c r="I25" s="44"/>
      <c r="J25" s="44"/>
      <c r="K25" s="44"/>
      <c r="L25" s="245"/>
      <c r="M25" s="44"/>
      <c r="N25" s="44"/>
      <c r="O25" s="44"/>
      <c r="P25" s="44"/>
      <c r="Q25" s="44"/>
      <c r="R25" s="44"/>
      <c r="S25" s="44"/>
      <c r="T25" s="128"/>
      <c r="U25" s="44"/>
      <c r="V25" s="44"/>
      <c r="W25" s="44"/>
      <c r="X25" s="44"/>
      <c r="Y25" s="72">
        <f t="shared" si="1"/>
        <v>0</v>
      </c>
      <c r="Z25" s="177">
        <f t="shared" si="2"/>
        <v>0</v>
      </c>
    </row>
    <row r="26" spans="1:26" ht="36" customHeight="1">
      <c r="A26" s="49">
        <v>21</v>
      </c>
      <c r="B26" s="68" t="s">
        <v>197</v>
      </c>
      <c r="C26" s="49" t="s">
        <v>158</v>
      </c>
      <c r="D26" s="49"/>
      <c r="E26" s="49" t="s">
        <v>307</v>
      </c>
      <c r="F26" s="70">
        <v>0.36399999999999999</v>
      </c>
      <c r="G26" s="111">
        <v>6</v>
      </c>
      <c r="H26" s="44"/>
      <c r="I26" s="44"/>
      <c r="J26" s="44">
        <v>1</v>
      </c>
      <c r="K26" s="44"/>
      <c r="L26" s="245"/>
      <c r="M26" s="44"/>
      <c r="N26" s="44"/>
      <c r="O26" s="44"/>
      <c r="P26" s="44"/>
      <c r="Q26" s="44"/>
      <c r="R26" s="44"/>
      <c r="S26" s="44"/>
      <c r="T26" s="128"/>
      <c r="U26" s="44"/>
      <c r="V26" s="44"/>
      <c r="W26" s="44"/>
      <c r="X26" s="44"/>
      <c r="Y26" s="72">
        <f t="shared" si="1"/>
        <v>1</v>
      </c>
      <c r="Z26" s="177">
        <f t="shared" si="2"/>
        <v>2.1840000000000002</v>
      </c>
    </row>
    <row r="27" spans="1:26" ht="36" customHeight="1">
      <c r="A27" s="49">
        <v>22</v>
      </c>
      <c r="B27" s="68" t="s">
        <v>137</v>
      </c>
      <c r="C27" s="49" t="s">
        <v>159</v>
      </c>
      <c r="D27" s="49"/>
      <c r="E27" s="49" t="s">
        <v>307</v>
      </c>
      <c r="F27" s="70">
        <v>0.69699999999999995</v>
      </c>
      <c r="G27" s="111">
        <v>6</v>
      </c>
      <c r="H27" s="44"/>
      <c r="I27" s="44"/>
      <c r="J27" s="44"/>
      <c r="K27" s="44"/>
      <c r="L27" s="245"/>
      <c r="M27" s="44"/>
      <c r="N27" s="44"/>
      <c r="O27" s="44"/>
      <c r="P27" s="44"/>
      <c r="Q27" s="44"/>
      <c r="R27" s="44"/>
      <c r="S27" s="44"/>
      <c r="T27" s="128"/>
      <c r="U27" s="44"/>
      <c r="V27" s="44"/>
      <c r="W27" s="44"/>
      <c r="X27" s="44"/>
      <c r="Y27" s="72">
        <f t="shared" si="1"/>
        <v>0</v>
      </c>
      <c r="Z27" s="177">
        <f t="shared" si="2"/>
        <v>0</v>
      </c>
    </row>
    <row r="28" spans="1:26" ht="36" customHeight="1">
      <c r="A28" s="49">
        <v>23</v>
      </c>
      <c r="B28" s="68" t="s">
        <v>160</v>
      </c>
      <c r="C28" s="49" t="s">
        <v>163</v>
      </c>
      <c r="D28" s="49"/>
      <c r="E28" s="49" t="s">
        <v>307</v>
      </c>
      <c r="F28" s="70">
        <v>0.72299999999999998</v>
      </c>
      <c r="G28" s="111">
        <v>6</v>
      </c>
      <c r="H28" s="44"/>
      <c r="I28" s="44"/>
      <c r="J28" s="44"/>
      <c r="K28" s="44"/>
      <c r="L28" s="245"/>
      <c r="M28" s="44"/>
      <c r="N28" s="44"/>
      <c r="O28" s="44"/>
      <c r="P28" s="44"/>
      <c r="Q28" s="44"/>
      <c r="R28" s="44"/>
      <c r="S28" s="44"/>
      <c r="T28" s="128"/>
      <c r="U28" s="44"/>
      <c r="V28" s="44"/>
      <c r="W28" s="44"/>
      <c r="X28" s="44"/>
      <c r="Y28" s="72">
        <f t="shared" si="1"/>
        <v>0</v>
      </c>
      <c r="Z28" s="177">
        <f t="shared" si="2"/>
        <v>0</v>
      </c>
    </row>
    <row r="29" spans="1:26" ht="36" customHeight="1">
      <c r="A29" s="49">
        <v>24</v>
      </c>
      <c r="B29" s="68" t="s">
        <v>161</v>
      </c>
      <c r="C29" s="49" t="s">
        <v>164</v>
      </c>
      <c r="D29" s="49"/>
      <c r="E29" s="49" t="s">
        <v>307</v>
      </c>
      <c r="F29" s="70">
        <v>0.21</v>
      </c>
      <c r="G29" s="111">
        <v>6</v>
      </c>
      <c r="H29" s="44"/>
      <c r="I29" s="44"/>
      <c r="J29" s="44"/>
      <c r="K29" s="44">
        <v>3</v>
      </c>
      <c r="L29" s="245"/>
      <c r="M29" s="44"/>
      <c r="N29" s="44"/>
      <c r="O29" s="44"/>
      <c r="P29" s="44"/>
      <c r="Q29" s="44"/>
      <c r="R29" s="44"/>
      <c r="S29" s="44"/>
      <c r="T29" s="128"/>
      <c r="U29" s="44"/>
      <c r="V29" s="44"/>
      <c r="W29" s="44"/>
      <c r="X29" s="44"/>
      <c r="Y29" s="72">
        <f t="shared" si="1"/>
        <v>3</v>
      </c>
      <c r="Z29" s="177">
        <f t="shared" si="2"/>
        <v>3.7800000000000002</v>
      </c>
    </row>
    <row r="30" spans="1:26" ht="36" customHeight="1">
      <c r="A30" s="49">
        <v>25</v>
      </c>
      <c r="B30" s="68" t="s">
        <v>162</v>
      </c>
      <c r="C30" s="49" t="s">
        <v>165</v>
      </c>
      <c r="D30" s="49"/>
      <c r="E30" s="49" t="s">
        <v>307</v>
      </c>
      <c r="F30" s="70">
        <v>0.34</v>
      </c>
      <c r="G30" s="111">
        <v>6</v>
      </c>
      <c r="H30" s="44"/>
      <c r="I30" s="44"/>
      <c r="J30" s="44"/>
      <c r="K30" s="44"/>
      <c r="L30" s="245"/>
      <c r="M30" s="44"/>
      <c r="N30" s="44"/>
      <c r="O30" s="44"/>
      <c r="P30" s="44"/>
      <c r="Q30" s="44"/>
      <c r="R30" s="44"/>
      <c r="S30" s="44"/>
      <c r="T30" s="128"/>
      <c r="U30" s="44"/>
      <c r="V30" s="44"/>
      <c r="W30" s="44"/>
      <c r="X30" s="44"/>
      <c r="Y30" s="72">
        <f t="shared" si="1"/>
        <v>0</v>
      </c>
      <c r="Z30" s="177">
        <f t="shared" si="2"/>
        <v>0</v>
      </c>
    </row>
    <row r="31" spans="1:26" ht="36" customHeight="1">
      <c r="A31" s="49">
        <v>26</v>
      </c>
      <c r="B31" s="68" t="s">
        <v>266</v>
      </c>
      <c r="C31" s="49" t="s">
        <v>267</v>
      </c>
      <c r="D31" s="49"/>
      <c r="E31" s="49" t="s">
        <v>307</v>
      </c>
      <c r="F31" s="70">
        <v>1.5149999999999999</v>
      </c>
      <c r="G31" s="111">
        <v>6</v>
      </c>
      <c r="H31" s="44"/>
      <c r="I31" s="44"/>
      <c r="J31" s="44"/>
      <c r="K31" s="44"/>
      <c r="L31" s="245"/>
      <c r="M31" s="44"/>
      <c r="N31" s="44"/>
      <c r="O31" s="44"/>
      <c r="P31" s="44"/>
      <c r="Q31" s="44"/>
      <c r="R31" s="44"/>
      <c r="S31" s="44"/>
      <c r="T31" s="128"/>
      <c r="U31" s="44"/>
      <c r="V31" s="44"/>
      <c r="W31" s="44"/>
      <c r="X31" s="44"/>
      <c r="Y31" s="72">
        <f t="shared" si="1"/>
        <v>0</v>
      </c>
      <c r="Z31" s="177">
        <f t="shared" si="2"/>
        <v>0</v>
      </c>
    </row>
    <row r="32" spans="1:26" ht="36" customHeight="1">
      <c r="A32" s="49">
        <v>27</v>
      </c>
      <c r="B32" s="68" t="s">
        <v>268</v>
      </c>
      <c r="C32" s="49" t="s">
        <v>269</v>
      </c>
      <c r="D32" s="49"/>
      <c r="E32" s="49" t="s">
        <v>307</v>
      </c>
      <c r="F32" s="70">
        <v>1.5149999999999999</v>
      </c>
      <c r="G32" s="111">
        <v>6</v>
      </c>
      <c r="H32" s="44"/>
      <c r="I32" s="44"/>
      <c r="J32" s="44">
        <v>4</v>
      </c>
      <c r="K32" s="44"/>
      <c r="L32" s="245"/>
      <c r="M32" s="44"/>
      <c r="N32" s="44"/>
      <c r="O32" s="44"/>
      <c r="P32" s="44"/>
      <c r="Q32" s="44"/>
      <c r="R32" s="44"/>
      <c r="S32" s="44"/>
      <c r="T32" s="128"/>
      <c r="U32" s="44"/>
      <c r="V32" s="44"/>
      <c r="W32" s="44"/>
      <c r="X32" s="44"/>
      <c r="Y32" s="72">
        <f t="shared" si="1"/>
        <v>4</v>
      </c>
      <c r="Z32" s="177">
        <f t="shared" si="2"/>
        <v>36.36</v>
      </c>
    </row>
    <row r="33" spans="1:26" ht="36" customHeight="1">
      <c r="A33" s="49">
        <v>28</v>
      </c>
      <c r="B33" s="68" t="s">
        <v>270</v>
      </c>
      <c r="C33" s="49" t="s">
        <v>271</v>
      </c>
      <c r="D33" s="49"/>
      <c r="E33" s="49" t="s">
        <v>307</v>
      </c>
      <c r="F33" s="70">
        <v>1.163</v>
      </c>
      <c r="G33" s="111">
        <v>6</v>
      </c>
      <c r="H33" s="44"/>
      <c r="I33" s="44"/>
      <c r="J33" s="44">
        <v>3</v>
      </c>
      <c r="K33" s="44"/>
      <c r="L33" s="245"/>
      <c r="M33" s="44"/>
      <c r="N33" s="44"/>
      <c r="O33" s="44"/>
      <c r="P33" s="44"/>
      <c r="Q33" s="44"/>
      <c r="R33" s="44"/>
      <c r="S33" s="44"/>
      <c r="T33" s="128"/>
      <c r="U33" s="44"/>
      <c r="V33" s="44"/>
      <c r="W33" s="44"/>
      <c r="X33" s="44"/>
      <c r="Y33" s="72">
        <f t="shared" si="1"/>
        <v>3</v>
      </c>
      <c r="Z33" s="177">
        <f t="shared" si="2"/>
        <v>20.933999999999997</v>
      </c>
    </row>
    <row r="34" spans="1:26" ht="36" customHeight="1">
      <c r="A34" s="49">
        <v>29</v>
      </c>
      <c r="B34" s="68" t="s">
        <v>396</v>
      </c>
      <c r="C34" s="49" t="s">
        <v>272</v>
      </c>
      <c r="D34" s="49"/>
      <c r="E34" s="49" t="s">
        <v>307</v>
      </c>
      <c r="F34" s="70">
        <v>0.23300000000000001</v>
      </c>
      <c r="G34" s="111">
        <v>6</v>
      </c>
      <c r="H34" s="44"/>
      <c r="I34" s="44"/>
      <c r="J34" s="44"/>
      <c r="K34" s="44"/>
      <c r="L34" s="245"/>
      <c r="M34" s="44"/>
      <c r="N34" s="44"/>
      <c r="O34" s="44"/>
      <c r="P34" s="44"/>
      <c r="Q34" s="44"/>
      <c r="R34" s="44"/>
      <c r="S34" s="44"/>
      <c r="T34" s="128"/>
      <c r="U34" s="44"/>
      <c r="V34" s="44"/>
      <c r="W34" s="44"/>
      <c r="X34" s="44"/>
      <c r="Y34" s="72">
        <f t="shared" si="1"/>
        <v>0</v>
      </c>
      <c r="Z34" s="177">
        <f t="shared" si="2"/>
        <v>0</v>
      </c>
    </row>
    <row r="35" spans="1:26" ht="36" customHeight="1">
      <c r="A35" s="49"/>
      <c r="B35" s="99" t="s">
        <v>142</v>
      </c>
      <c r="C35" s="98" t="s">
        <v>398</v>
      </c>
      <c r="D35" s="98"/>
      <c r="E35" s="98" t="s">
        <v>307</v>
      </c>
      <c r="F35" s="70">
        <v>0.40500000000000003</v>
      </c>
      <c r="G35" s="111">
        <v>6</v>
      </c>
      <c r="H35" s="44"/>
      <c r="I35" s="44"/>
      <c r="J35" s="44"/>
      <c r="K35" s="44"/>
      <c r="L35" s="245"/>
      <c r="M35" s="44"/>
      <c r="N35" s="44"/>
      <c r="O35" s="44"/>
      <c r="P35" s="44"/>
      <c r="Q35" s="44"/>
      <c r="R35" s="44"/>
      <c r="S35" s="44"/>
      <c r="T35" s="128"/>
      <c r="U35" s="44"/>
      <c r="V35" s="44"/>
      <c r="W35" s="44"/>
      <c r="X35" s="44"/>
      <c r="Y35" s="72">
        <f t="shared" si="1"/>
        <v>0</v>
      </c>
      <c r="Z35" s="177">
        <f t="shared" si="2"/>
        <v>0</v>
      </c>
    </row>
    <row r="36" spans="1:26" s="73" customFormat="1" ht="36" customHeight="1">
      <c r="A36" s="44">
        <v>30</v>
      </c>
      <c r="B36" s="51" t="s">
        <v>332</v>
      </c>
      <c r="C36" s="44" t="s">
        <v>330</v>
      </c>
      <c r="D36" s="44"/>
      <c r="E36" s="44" t="s">
        <v>307</v>
      </c>
      <c r="F36" s="71">
        <v>0.31</v>
      </c>
      <c r="G36" s="111">
        <v>6</v>
      </c>
      <c r="H36" s="44">
        <v>1</v>
      </c>
      <c r="I36" s="44">
        <v>29</v>
      </c>
      <c r="J36" s="44">
        <v>7</v>
      </c>
      <c r="K36" s="44"/>
      <c r="L36" s="245"/>
      <c r="M36" s="44"/>
      <c r="N36" s="44"/>
      <c r="O36" s="44"/>
      <c r="P36" s="44"/>
      <c r="Q36" s="44"/>
      <c r="R36" s="44"/>
      <c r="S36" s="44"/>
      <c r="T36" s="128"/>
      <c r="U36" s="44"/>
      <c r="V36" s="44"/>
      <c r="W36" s="44"/>
      <c r="X36" s="44"/>
      <c r="Y36" s="72">
        <f>SUM(H36:X36)</f>
        <v>37</v>
      </c>
      <c r="Z36" s="177">
        <f t="shared" si="2"/>
        <v>68.820000000000007</v>
      </c>
    </row>
    <row r="37" spans="1:26" s="73" customFormat="1" ht="36" customHeight="1">
      <c r="A37" s="44">
        <v>31</v>
      </c>
      <c r="B37" s="51" t="s">
        <v>332</v>
      </c>
      <c r="C37" s="44" t="s">
        <v>331</v>
      </c>
      <c r="D37" s="44"/>
      <c r="E37" s="44" t="s">
        <v>307</v>
      </c>
      <c r="F37" s="71">
        <v>0.27800000000000002</v>
      </c>
      <c r="G37" s="111">
        <v>6</v>
      </c>
      <c r="H37" s="44"/>
      <c r="I37" s="44">
        <v>13</v>
      </c>
      <c r="J37" s="44"/>
      <c r="K37" s="44"/>
      <c r="L37" s="245"/>
      <c r="M37" s="44"/>
      <c r="N37" s="44"/>
      <c r="O37" s="44"/>
      <c r="P37" s="44"/>
      <c r="Q37" s="44"/>
      <c r="R37" s="44"/>
      <c r="S37" s="44"/>
      <c r="T37" s="128"/>
      <c r="U37" s="44"/>
      <c r="V37" s="44"/>
      <c r="W37" s="44"/>
      <c r="X37" s="44"/>
      <c r="Y37" s="72">
        <f t="shared" si="1"/>
        <v>13</v>
      </c>
      <c r="Z37" s="177">
        <f t="shared" si="2"/>
        <v>21.684000000000001</v>
      </c>
    </row>
    <row r="38" spans="1:26" ht="36" customHeight="1">
      <c r="A38" s="65" t="s">
        <v>298</v>
      </c>
      <c r="B38" s="66" t="s">
        <v>245</v>
      </c>
      <c r="C38" s="66"/>
      <c r="D38" s="66"/>
      <c r="E38" s="65" t="s">
        <v>307</v>
      </c>
      <c r="F38" s="65"/>
      <c r="G38" s="110"/>
      <c r="H38" s="67"/>
      <c r="I38" s="67"/>
      <c r="J38" s="67"/>
      <c r="K38" s="67"/>
      <c r="L38" s="246"/>
      <c r="M38" s="67"/>
      <c r="N38" s="67"/>
      <c r="O38" s="67"/>
      <c r="P38" s="67"/>
      <c r="Q38" s="67"/>
      <c r="R38" s="67"/>
      <c r="S38" s="67"/>
      <c r="T38" s="178"/>
      <c r="U38" s="67"/>
      <c r="V38" s="67"/>
      <c r="W38" s="67"/>
      <c r="X38" s="67"/>
      <c r="Y38" s="67">
        <f>Y39+Y40+Y41</f>
        <v>0</v>
      </c>
      <c r="Z38" s="179">
        <f>Z39+Z40+Z41</f>
        <v>0</v>
      </c>
    </row>
    <row r="39" spans="1:26" ht="36" customHeight="1">
      <c r="A39" s="49">
        <v>1</v>
      </c>
      <c r="B39" s="68" t="s">
        <v>230</v>
      </c>
      <c r="C39" s="49" t="s">
        <v>300</v>
      </c>
      <c r="D39" s="49"/>
      <c r="E39" s="49" t="s">
        <v>307</v>
      </c>
      <c r="F39" s="70">
        <v>0.95799999999999996</v>
      </c>
      <c r="G39" s="111">
        <v>6</v>
      </c>
      <c r="H39" s="44"/>
      <c r="I39" s="44"/>
      <c r="J39" s="44"/>
      <c r="K39" s="44"/>
      <c r="L39" s="245"/>
      <c r="M39" s="44"/>
      <c r="N39" s="44"/>
      <c r="O39" s="44"/>
      <c r="P39" s="44"/>
      <c r="Q39" s="44"/>
      <c r="R39" s="44"/>
      <c r="S39" s="44"/>
      <c r="T39" s="128"/>
      <c r="U39" s="44"/>
      <c r="V39" s="44"/>
      <c r="W39" s="44"/>
      <c r="X39" s="44"/>
      <c r="Y39" s="72">
        <f>SUM(H39:X39)</f>
        <v>0</v>
      </c>
      <c r="Z39" s="177">
        <f>F39*Y39*6</f>
        <v>0</v>
      </c>
    </row>
    <row r="40" spans="1:26" ht="36" customHeight="1">
      <c r="A40" s="49">
        <v>2</v>
      </c>
      <c r="B40" s="68" t="s">
        <v>232</v>
      </c>
      <c r="C40" s="49" t="s">
        <v>299</v>
      </c>
      <c r="D40" s="49"/>
      <c r="E40" s="49" t="s">
        <v>307</v>
      </c>
      <c r="F40" s="70">
        <v>1.038</v>
      </c>
      <c r="G40" s="111">
        <v>6</v>
      </c>
      <c r="H40" s="44"/>
      <c r="I40" s="44"/>
      <c r="J40" s="44"/>
      <c r="K40" s="44"/>
      <c r="L40" s="245"/>
      <c r="M40" s="44"/>
      <c r="N40" s="44"/>
      <c r="O40" s="44"/>
      <c r="P40" s="44"/>
      <c r="Q40" s="44"/>
      <c r="R40" s="44"/>
      <c r="S40" s="44"/>
      <c r="T40" s="128"/>
      <c r="U40" s="44"/>
      <c r="V40" s="44"/>
      <c r="W40" s="44"/>
      <c r="X40" s="44"/>
      <c r="Y40" s="72">
        <f>SUM(H40:X40)</f>
        <v>0</v>
      </c>
      <c r="Z40" s="177">
        <f>F40*Y40*6</f>
        <v>0</v>
      </c>
    </row>
    <row r="41" spans="1:26" ht="36" customHeight="1">
      <c r="A41" s="49">
        <v>3</v>
      </c>
      <c r="B41" s="68" t="s">
        <v>302</v>
      </c>
      <c r="C41" s="49" t="s">
        <v>235</v>
      </c>
      <c r="D41" s="49"/>
      <c r="E41" s="49" t="s">
        <v>307</v>
      </c>
      <c r="F41" s="70">
        <v>0.75</v>
      </c>
      <c r="G41" s="111">
        <v>6</v>
      </c>
      <c r="H41" s="44"/>
      <c r="I41" s="44"/>
      <c r="J41" s="44"/>
      <c r="K41" s="44"/>
      <c r="L41" s="245"/>
      <c r="M41" s="44"/>
      <c r="N41" s="44"/>
      <c r="O41" s="44"/>
      <c r="P41" s="44"/>
      <c r="Q41" s="44"/>
      <c r="R41" s="44"/>
      <c r="S41" s="44"/>
      <c r="T41" s="128"/>
      <c r="U41" s="44"/>
      <c r="V41" s="44"/>
      <c r="W41" s="44"/>
      <c r="X41" s="44"/>
      <c r="Y41" s="72">
        <f>SUM(H41:X41)</f>
        <v>0</v>
      </c>
      <c r="Z41" s="177">
        <f>F41*Y41*6</f>
        <v>0</v>
      </c>
    </row>
    <row r="42" spans="1:26" ht="36" customHeight="1">
      <c r="A42" s="65" t="s">
        <v>277</v>
      </c>
      <c r="B42" s="66" t="s">
        <v>168</v>
      </c>
      <c r="C42" s="66"/>
      <c r="D42" s="66"/>
      <c r="E42" s="65" t="s">
        <v>307</v>
      </c>
      <c r="F42" s="65"/>
      <c r="G42" s="110"/>
      <c r="H42" s="67"/>
      <c r="I42" s="67"/>
      <c r="J42" s="67"/>
      <c r="K42" s="67"/>
      <c r="L42" s="246"/>
      <c r="M42" s="67"/>
      <c r="N42" s="67"/>
      <c r="O42" s="67"/>
      <c r="P42" s="67"/>
      <c r="Q42" s="67"/>
      <c r="R42" s="67"/>
      <c r="S42" s="67"/>
      <c r="T42" s="178"/>
      <c r="U42" s="67"/>
      <c r="V42" s="67"/>
      <c r="W42" s="67"/>
      <c r="X42" s="67"/>
      <c r="Y42" s="67">
        <f>Y43+Y44+Y45</f>
        <v>0</v>
      </c>
      <c r="Z42" s="179">
        <f>Z43+Z44+Z45</f>
        <v>0</v>
      </c>
    </row>
    <row r="43" spans="1:26" ht="36" customHeight="1">
      <c r="A43" s="49">
        <v>1</v>
      </c>
      <c r="B43" s="68" t="s">
        <v>169</v>
      </c>
      <c r="C43" s="49" t="s">
        <v>294</v>
      </c>
      <c r="D43" s="49"/>
      <c r="E43" s="49" t="s">
        <v>307</v>
      </c>
      <c r="F43" s="74">
        <v>1.0409999999999999</v>
      </c>
      <c r="G43" s="113">
        <v>6</v>
      </c>
      <c r="H43" s="44"/>
      <c r="I43" s="44"/>
      <c r="J43" s="44"/>
      <c r="K43" s="44"/>
      <c r="L43" s="245"/>
      <c r="M43" s="44"/>
      <c r="N43" s="44"/>
      <c r="O43" s="44"/>
      <c r="P43" s="44"/>
      <c r="Q43" s="44"/>
      <c r="R43" s="44"/>
      <c r="S43" s="44"/>
      <c r="T43" s="128"/>
      <c r="U43" s="44"/>
      <c r="V43" s="44"/>
      <c r="W43" s="44"/>
      <c r="X43" s="44"/>
      <c r="Y43" s="72">
        <f>SUM(H43:X43)</f>
        <v>0</v>
      </c>
      <c r="Z43" s="177">
        <f>F43*Y43*6</f>
        <v>0</v>
      </c>
    </row>
    <row r="44" spans="1:26" ht="36" customHeight="1">
      <c r="A44" s="49">
        <v>2</v>
      </c>
      <c r="B44" s="68" t="s">
        <v>170</v>
      </c>
      <c r="C44" s="49" t="s">
        <v>295</v>
      </c>
      <c r="D44" s="49"/>
      <c r="E44" s="49" t="s">
        <v>307</v>
      </c>
      <c r="F44" s="74">
        <v>1.155</v>
      </c>
      <c r="G44" s="113">
        <v>6</v>
      </c>
      <c r="H44" s="44"/>
      <c r="I44" s="44"/>
      <c r="J44" s="44"/>
      <c r="K44" s="44"/>
      <c r="L44" s="245"/>
      <c r="M44" s="44"/>
      <c r="N44" s="44"/>
      <c r="O44" s="44"/>
      <c r="P44" s="44"/>
      <c r="Q44" s="44"/>
      <c r="R44" s="44"/>
      <c r="S44" s="44"/>
      <c r="T44" s="128"/>
      <c r="U44" s="44"/>
      <c r="V44" s="44"/>
      <c r="W44" s="44"/>
      <c r="X44" s="44"/>
      <c r="Y44" s="72">
        <f>SUM(H44:X44)</f>
        <v>0</v>
      </c>
      <c r="Z44" s="177">
        <f>F44*Y44*6</f>
        <v>0</v>
      </c>
    </row>
    <row r="45" spans="1:26" ht="36" customHeight="1">
      <c r="A45" s="49">
        <v>3</v>
      </c>
      <c r="B45" s="68" t="s">
        <v>171</v>
      </c>
      <c r="C45" s="49" t="s">
        <v>296</v>
      </c>
      <c r="D45" s="49"/>
      <c r="E45" s="49" t="s">
        <v>307</v>
      </c>
      <c r="F45" s="74">
        <v>0.42</v>
      </c>
      <c r="G45" s="113">
        <v>6</v>
      </c>
      <c r="H45" s="44"/>
      <c r="I45" s="44"/>
      <c r="J45" s="44"/>
      <c r="K45" s="44"/>
      <c r="L45" s="245"/>
      <c r="M45" s="44"/>
      <c r="N45" s="44"/>
      <c r="O45" s="44"/>
      <c r="P45" s="44"/>
      <c r="Q45" s="44"/>
      <c r="R45" s="44"/>
      <c r="S45" s="44"/>
      <c r="T45" s="128"/>
      <c r="U45" s="44"/>
      <c r="V45" s="44"/>
      <c r="W45" s="44"/>
      <c r="X45" s="44"/>
      <c r="Y45" s="72">
        <f>SUM(H45:X45)</f>
        <v>0</v>
      </c>
      <c r="Z45" s="177">
        <f>F45*Y45*6</f>
        <v>0</v>
      </c>
    </row>
    <row r="46" spans="1:26" ht="37.5" customHeight="1">
      <c r="A46" s="65" t="s">
        <v>304</v>
      </c>
      <c r="B46" s="75" t="s">
        <v>117</v>
      </c>
      <c r="C46" s="279" t="s">
        <v>329</v>
      </c>
      <c r="D46" s="280"/>
      <c r="E46" s="65" t="s">
        <v>307</v>
      </c>
      <c r="F46" s="76"/>
      <c r="G46" s="114"/>
      <c r="H46" s="67"/>
      <c r="I46" s="67"/>
      <c r="J46" s="67"/>
      <c r="K46" s="67"/>
      <c r="L46" s="246"/>
      <c r="M46" s="67"/>
      <c r="N46" s="67"/>
      <c r="O46" s="67"/>
      <c r="P46" s="67"/>
      <c r="Q46" s="67"/>
      <c r="R46" s="67"/>
      <c r="S46" s="67"/>
      <c r="T46" s="178"/>
      <c r="U46" s="67"/>
      <c r="V46" s="67"/>
      <c r="W46" s="67"/>
      <c r="X46" s="67"/>
      <c r="Y46" s="67">
        <f>Y47+Y48</f>
        <v>0</v>
      </c>
      <c r="Z46" s="179">
        <f>Z47+Z48</f>
        <v>0</v>
      </c>
    </row>
    <row r="47" spans="1:26" s="78" customFormat="1" ht="36" customHeight="1">
      <c r="A47" s="49">
        <v>10</v>
      </c>
      <c r="B47" s="68" t="s">
        <v>265</v>
      </c>
      <c r="C47" s="49" t="s">
        <v>325</v>
      </c>
      <c r="D47" s="49"/>
      <c r="E47" s="49" t="s">
        <v>307</v>
      </c>
      <c r="F47" s="74">
        <v>0.23899999999999999</v>
      </c>
      <c r="G47" s="113">
        <v>6</v>
      </c>
      <c r="H47" s="92"/>
      <c r="I47" s="243">
        <v>0</v>
      </c>
      <c r="J47" s="92"/>
      <c r="K47" s="92"/>
      <c r="L47" s="247"/>
      <c r="M47" s="92"/>
      <c r="N47" s="162"/>
      <c r="O47" s="92"/>
      <c r="P47" s="92"/>
      <c r="Q47" s="142"/>
      <c r="R47" s="92"/>
      <c r="S47" s="162"/>
      <c r="T47" s="163"/>
      <c r="U47" s="92"/>
      <c r="V47" s="92"/>
      <c r="W47" s="92"/>
      <c r="X47" s="92"/>
      <c r="Y47" s="72">
        <f>SUM(H47:X47)</f>
        <v>0</v>
      </c>
      <c r="Z47" s="177">
        <f>F47*Y47*6</f>
        <v>0</v>
      </c>
    </row>
    <row r="48" spans="1:26" s="93" customFormat="1" ht="36" customHeight="1">
      <c r="A48" s="44">
        <v>11</v>
      </c>
      <c r="B48" s="51" t="s">
        <v>27</v>
      </c>
      <c r="C48" s="44" t="s">
        <v>326</v>
      </c>
      <c r="D48" s="44"/>
      <c r="E48" s="44" t="s">
        <v>307</v>
      </c>
      <c r="F48" s="71">
        <v>1.079</v>
      </c>
      <c r="G48" s="113">
        <v>6</v>
      </c>
      <c r="H48" s="92"/>
      <c r="I48" s="243">
        <v>0</v>
      </c>
      <c r="J48" s="92"/>
      <c r="K48" s="92"/>
      <c r="L48" s="247"/>
      <c r="M48" s="92"/>
      <c r="N48" s="162"/>
      <c r="O48" s="92"/>
      <c r="P48" s="92"/>
      <c r="Q48" s="142"/>
      <c r="R48" s="92"/>
      <c r="S48" s="162"/>
      <c r="T48" s="163"/>
      <c r="U48" s="92"/>
      <c r="V48" s="92"/>
      <c r="W48" s="92"/>
      <c r="X48" s="92"/>
      <c r="Y48" s="72">
        <f>SUM(H48:X48)</f>
        <v>0</v>
      </c>
      <c r="Z48" s="177">
        <f>F48*Y48*6</f>
        <v>0</v>
      </c>
    </row>
    <row r="49" spans="1:26" ht="27" customHeight="1">
      <c r="A49" s="65" t="s">
        <v>305</v>
      </c>
      <c r="B49" s="75" t="s">
        <v>117</v>
      </c>
      <c r="C49" s="279" t="s">
        <v>301</v>
      </c>
      <c r="D49" s="281"/>
      <c r="E49" s="65" t="s">
        <v>307</v>
      </c>
      <c r="F49" s="76"/>
      <c r="G49" s="114"/>
      <c r="H49" s="67"/>
      <c r="I49" s="67"/>
      <c r="J49" s="67"/>
      <c r="K49" s="67"/>
      <c r="L49" s="246"/>
      <c r="M49" s="67"/>
      <c r="N49" s="67"/>
      <c r="O49" s="67"/>
      <c r="P49" s="67"/>
      <c r="Q49" s="67"/>
      <c r="R49" s="67"/>
      <c r="S49" s="67"/>
      <c r="T49" s="178"/>
      <c r="U49" s="67"/>
      <c r="V49" s="67"/>
      <c r="W49" s="67"/>
      <c r="X49" s="67"/>
      <c r="Y49" s="67">
        <f>SUM(Y50:Y61)</f>
        <v>65</v>
      </c>
      <c r="Z49" s="179">
        <f>SUM(Z50:Z61)</f>
        <v>577.93799999999999</v>
      </c>
    </row>
    <row r="50" spans="1:26" s="73" customFormat="1" ht="36" customHeight="1">
      <c r="A50" s="44">
        <v>1</v>
      </c>
      <c r="B50" s="51" t="s">
        <v>328</v>
      </c>
      <c r="C50" s="44" t="s">
        <v>333</v>
      </c>
      <c r="D50" s="94"/>
      <c r="E50" s="44" t="s">
        <v>307</v>
      </c>
      <c r="F50" s="44">
        <v>1.4770000000000001</v>
      </c>
      <c r="G50" s="115">
        <v>6</v>
      </c>
      <c r="H50" s="44"/>
      <c r="I50" s="44">
        <v>30</v>
      </c>
      <c r="J50" s="44"/>
      <c r="K50" s="44"/>
      <c r="L50" s="245"/>
      <c r="M50" s="44"/>
      <c r="N50" s="44"/>
      <c r="O50" s="44"/>
      <c r="P50" s="44"/>
      <c r="Q50" s="44"/>
      <c r="R50" s="44"/>
      <c r="S50" s="44"/>
      <c r="T50" s="128"/>
      <c r="U50" s="44"/>
      <c r="V50" s="44"/>
      <c r="W50" s="44"/>
      <c r="X50" s="44"/>
      <c r="Y50" s="72">
        <f t="shared" ref="Y50:Y61" si="3">SUM(H50:X50)</f>
        <v>30</v>
      </c>
      <c r="Z50" s="177">
        <f t="shared" ref="Z50:Z61" si="4">F50*Y50*6</f>
        <v>265.86</v>
      </c>
    </row>
    <row r="51" spans="1:26" s="73" customFormat="1" ht="36" customHeight="1">
      <c r="A51" s="44">
        <v>2</v>
      </c>
      <c r="B51" s="51" t="s">
        <v>22</v>
      </c>
      <c r="C51" s="44" t="s">
        <v>334</v>
      </c>
      <c r="D51" s="94"/>
      <c r="E51" s="44" t="s">
        <v>307</v>
      </c>
      <c r="F51" s="44">
        <v>1.8129999999999999</v>
      </c>
      <c r="G51" s="115">
        <v>6</v>
      </c>
      <c r="H51" s="44"/>
      <c r="I51" s="44">
        <v>15</v>
      </c>
      <c r="J51" s="44"/>
      <c r="K51" s="44"/>
      <c r="L51" s="245"/>
      <c r="M51" s="44"/>
      <c r="N51" s="44"/>
      <c r="O51" s="44"/>
      <c r="P51" s="44"/>
      <c r="Q51" s="44"/>
      <c r="R51" s="44"/>
      <c r="S51" s="44"/>
      <c r="T51" s="128"/>
      <c r="U51" s="44"/>
      <c r="V51" s="44"/>
      <c r="W51" s="44"/>
      <c r="X51" s="44"/>
      <c r="Y51" s="72">
        <f t="shared" si="3"/>
        <v>15</v>
      </c>
      <c r="Z51" s="177">
        <f t="shared" si="4"/>
        <v>163.17000000000002</v>
      </c>
    </row>
    <row r="52" spans="1:26" s="73" customFormat="1" ht="36" customHeight="1">
      <c r="A52" s="44">
        <v>3</v>
      </c>
      <c r="B52" s="51" t="s">
        <v>23</v>
      </c>
      <c r="C52" s="44" t="s">
        <v>335</v>
      </c>
      <c r="D52" s="44"/>
      <c r="E52" s="44" t="s">
        <v>307</v>
      </c>
      <c r="F52" s="44">
        <v>1.8140000000000001</v>
      </c>
      <c r="G52" s="115">
        <v>6</v>
      </c>
      <c r="H52" s="44"/>
      <c r="I52" s="44"/>
      <c r="J52" s="44"/>
      <c r="K52" s="44"/>
      <c r="L52" s="245"/>
      <c r="M52" s="44"/>
      <c r="N52" s="44"/>
      <c r="O52" s="44"/>
      <c r="P52" s="44"/>
      <c r="Q52" s="44"/>
      <c r="R52" s="44"/>
      <c r="S52" s="44"/>
      <c r="T52" s="128"/>
      <c r="U52" s="44"/>
      <c r="V52" s="44"/>
      <c r="W52" s="44"/>
      <c r="X52" s="44"/>
      <c r="Y52" s="72">
        <f t="shared" si="3"/>
        <v>0</v>
      </c>
      <c r="Z52" s="177">
        <f t="shared" si="4"/>
        <v>0</v>
      </c>
    </row>
    <row r="53" spans="1:26" s="73" customFormat="1" ht="36" customHeight="1">
      <c r="A53" s="44">
        <v>4</v>
      </c>
      <c r="B53" s="51" t="s">
        <v>24</v>
      </c>
      <c r="C53" s="44" t="s">
        <v>337</v>
      </c>
      <c r="D53" s="44"/>
      <c r="E53" s="44" t="s">
        <v>307</v>
      </c>
      <c r="F53" s="44">
        <v>1.4019999999999999</v>
      </c>
      <c r="G53" s="115">
        <v>6</v>
      </c>
      <c r="H53" s="44"/>
      <c r="I53" s="44">
        <v>14</v>
      </c>
      <c r="J53" s="44"/>
      <c r="K53" s="44"/>
      <c r="L53" s="245"/>
      <c r="M53" s="44"/>
      <c r="N53" s="44"/>
      <c r="O53" s="44"/>
      <c r="P53" s="44"/>
      <c r="Q53" s="44"/>
      <c r="R53" s="44"/>
      <c r="S53" s="44"/>
      <c r="T53" s="128"/>
      <c r="U53" s="44"/>
      <c r="V53" s="44"/>
      <c r="W53" s="44"/>
      <c r="X53" s="44"/>
      <c r="Y53" s="72">
        <f t="shared" si="3"/>
        <v>14</v>
      </c>
      <c r="Z53" s="177">
        <f t="shared" si="4"/>
        <v>117.768</v>
      </c>
    </row>
    <row r="54" spans="1:26" s="93" customFormat="1" ht="36" customHeight="1">
      <c r="A54" s="44">
        <v>5</v>
      </c>
      <c r="B54" s="51" t="s">
        <v>9</v>
      </c>
      <c r="C54" s="44" t="s">
        <v>338</v>
      </c>
      <c r="D54" s="44"/>
      <c r="E54" s="44" t="s">
        <v>307</v>
      </c>
      <c r="F54" s="44">
        <v>0.41499999999999998</v>
      </c>
      <c r="G54" s="115">
        <v>6</v>
      </c>
      <c r="H54" s="92"/>
      <c r="I54" s="92">
        <v>2</v>
      </c>
      <c r="J54" s="162"/>
      <c r="K54" s="162"/>
      <c r="L54" s="248"/>
      <c r="M54" s="162"/>
      <c r="N54" s="162"/>
      <c r="O54" s="92"/>
      <c r="P54" s="92"/>
      <c r="Q54" s="142"/>
      <c r="R54" s="162"/>
      <c r="S54" s="162"/>
      <c r="T54" s="174"/>
      <c r="U54" s="92"/>
      <c r="V54" s="92"/>
      <c r="W54" s="92"/>
      <c r="X54" s="92"/>
      <c r="Y54" s="72">
        <f t="shared" si="3"/>
        <v>2</v>
      </c>
      <c r="Z54" s="177">
        <f t="shared" si="4"/>
        <v>4.9799999999999995</v>
      </c>
    </row>
    <row r="55" spans="1:26" s="93" customFormat="1" ht="36" customHeight="1">
      <c r="A55" s="44">
        <v>6</v>
      </c>
      <c r="B55" s="51" t="s">
        <v>342</v>
      </c>
      <c r="C55" s="44" t="s">
        <v>341</v>
      </c>
      <c r="D55" s="44"/>
      <c r="E55" s="44" t="s">
        <v>307</v>
      </c>
      <c r="F55" s="44">
        <v>0.27800000000000002</v>
      </c>
      <c r="G55" s="115">
        <v>6</v>
      </c>
      <c r="H55" s="92"/>
      <c r="I55" s="92"/>
      <c r="J55" s="162"/>
      <c r="K55" s="162"/>
      <c r="L55" s="248"/>
      <c r="M55" s="162"/>
      <c r="N55" s="162"/>
      <c r="O55" s="92"/>
      <c r="P55" s="92"/>
      <c r="Q55" s="162"/>
      <c r="R55" s="162"/>
      <c r="S55" s="162"/>
      <c r="T55" s="174"/>
      <c r="U55" s="92"/>
      <c r="V55" s="92"/>
      <c r="W55" s="92"/>
      <c r="X55" s="92"/>
      <c r="Y55" s="72">
        <f t="shared" si="3"/>
        <v>0</v>
      </c>
      <c r="Z55" s="177">
        <f t="shared" si="4"/>
        <v>0</v>
      </c>
    </row>
    <row r="56" spans="1:26" s="93" customFormat="1" ht="36" customHeight="1">
      <c r="A56" s="44">
        <v>7</v>
      </c>
      <c r="B56" s="51" t="s">
        <v>339</v>
      </c>
      <c r="C56" s="44" t="s">
        <v>340</v>
      </c>
      <c r="D56" s="44"/>
      <c r="E56" s="44" t="s">
        <v>307</v>
      </c>
      <c r="F56" s="44">
        <v>0.33400000000000002</v>
      </c>
      <c r="G56" s="115">
        <v>6</v>
      </c>
      <c r="H56" s="92"/>
      <c r="I56" s="92"/>
      <c r="J56" s="162"/>
      <c r="K56" s="162"/>
      <c r="L56" s="248"/>
      <c r="M56" s="162"/>
      <c r="N56" s="162"/>
      <c r="O56" s="92"/>
      <c r="P56" s="92"/>
      <c r="Q56" s="162"/>
      <c r="R56" s="162"/>
      <c r="S56" s="162"/>
      <c r="T56" s="174"/>
      <c r="U56" s="92"/>
      <c r="V56" s="92"/>
      <c r="W56" s="92"/>
      <c r="X56" s="92"/>
      <c r="Y56" s="72">
        <f t="shared" si="3"/>
        <v>0</v>
      </c>
      <c r="Z56" s="177">
        <f t="shared" si="4"/>
        <v>0</v>
      </c>
    </row>
    <row r="57" spans="1:26" s="93" customFormat="1" ht="36" customHeight="1">
      <c r="A57" s="44">
        <v>8</v>
      </c>
      <c r="B57" s="48" t="s">
        <v>343</v>
      </c>
      <c r="C57" s="42" t="s">
        <v>344</v>
      </c>
      <c r="D57" s="44"/>
      <c r="E57" s="44" t="s">
        <v>307</v>
      </c>
      <c r="F57" s="44">
        <v>0.91700000000000004</v>
      </c>
      <c r="G57" s="115">
        <v>6</v>
      </c>
      <c r="H57" s="92"/>
      <c r="I57" s="92"/>
      <c r="J57" s="162"/>
      <c r="K57" s="162"/>
      <c r="L57" s="248"/>
      <c r="M57" s="162"/>
      <c r="N57" s="162"/>
      <c r="O57" s="92"/>
      <c r="P57" s="92"/>
      <c r="Q57" s="162"/>
      <c r="R57" s="162"/>
      <c r="S57" s="162"/>
      <c r="T57" s="174"/>
      <c r="U57" s="92"/>
      <c r="V57" s="92"/>
      <c r="W57" s="92"/>
      <c r="X57" s="92"/>
      <c r="Y57" s="72">
        <f t="shared" si="3"/>
        <v>0</v>
      </c>
      <c r="Z57" s="177">
        <f t="shared" si="4"/>
        <v>0</v>
      </c>
    </row>
    <row r="58" spans="1:26" s="93" customFormat="1" ht="36" customHeight="1">
      <c r="A58" s="44">
        <v>9</v>
      </c>
      <c r="B58" s="51" t="s">
        <v>345</v>
      </c>
      <c r="C58" s="44" t="s">
        <v>346</v>
      </c>
      <c r="D58" s="44"/>
      <c r="E58" s="44" t="s">
        <v>307</v>
      </c>
      <c r="F58" s="44">
        <v>1.0900000000000001</v>
      </c>
      <c r="G58" s="115">
        <v>6</v>
      </c>
      <c r="H58" s="92"/>
      <c r="I58" s="92">
        <v>4</v>
      </c>
      <c r="J58" s="162"/>
      <c r="K58" s="162"/>
      <c r="L58" s="248"/>
      <c r="M58" s="162"/>
      <c r="N58" s="162"/>
      <c r="O58" s="92"/>
      <c r="P58" s="92"/>
      <c r="Q58" s="162"/>
      <c r="R58" s="162"/>
      <c r="S58" s="162"/>
      <c r="T58" s="174"/>
      <c r="U58" s="92"/>
      <c r="V58" s="92"/>
      <c r="W58" s="92"/>
      <c r="X58" s="92"/>
      <c r="Y58" s="72">
        <f t="shared" si="3"/>
        <v>4</v>
      </c>
      <c r="Z58" s="177">
        <f t="shared" si="4"/>
        <v>26.160000000000004</v>
      </c>
    </row>
    <row r="59" spans="1:26" s="93" customFormat="1" ht="36" customHeight="1">
      <c r="A59" s="44">
        <v>10</v>
      </c>
      <c r="B59" s="51" t="s">
        <v>347</v>
      </c>
      <c r="C59" s="44" t="s">
        <v>336</v>
      </c>
      <c r="D59" s="44"/>
      <c r="E59" s="44" t="s">
        <v>307</v>
      </c>
      <c r="F59" s="44">
        <v>1.2689999999999999</v>
      </c>
      <c r="G59" s="115">
        <v>6</v>
      </c>
      <c r="H59" s="92"/>
      <c r="I59" s="92"/>
      <c r="J59" s="162"/>
      <c r="K59" s="162"/>
      <c r="L59" s="248"/>
      <c r="M59" s="162"/>
      <c r="N59" s="162"/>
      <c r="O59" s="92"/>
      <c r="P59" s="92"/>
      <c r="Q59" s="162"/>
      <c r="R59" s="162"/>
      <c r="S59" s="162"/>
      <c r="T59" s="174"/>
      <c r="U59" s="92"/>
      <c r="V59" s="92"/>
      <c r="W59" s="92"/>
      <c r="X59" s="92"/>
      <c r="Y59" s="72">
        <f t="shared" si="3"/>
        <v>0</v>
      </c>
      <c r="Z59" s="177">
        <f t="shared" si="4"/>
        <v>0</v>
      </c>
    </row>
    <row r="60" spans="1:26" s="93" customFormat="1" ht="36" customHeight="1">
      <c r="A60" s="44">
        <v>11</v>
      </c>
      <c r="B60" s="51" t="s">
        <v>349</v>
      </c>
      <c r="C60" s="44" t="s">
        <v>350</v>
      </c>
      <c r="D60" s="44"/>
      <c r="E60" s="44" t="s">
        <v>307</v>
      </c>
      <c r="F60" s="44">
        <v>0.95199999999999996</v>
      </c>
      <c r="G60" s="115">
        <v>6</v>
      </c>
      <c r="H60" s="92"/>
      <c r="I60" s="92"/>
      <c r="J60" s="162"/>
      <c r="K60" s="162"/>
      <c r="L60" s="248"/>
      <c r="M60" s="162"/>
      <c r="N60" s="162"/>
      <c r="O60" s="92"/>
      <c r="P60" s="92"/>
      <c r="Q60" s="162"/>
      <c r="R60" s="162"/>
      <c r="S60" s="162"/>
      <c r="T60" s="174"/>
      <c r="U60" s="92"/>
      <c r="V60" s="92"/>
      <c r="W60" s="92"/>
      <c r="X60" s="92"/>
      <c r="Y60" s="72">
        <f t="shared" si="3"/>
        <v>0</v>
      </c>
      <c r="Z60" s="177">
        <f t="shared" si="4"/>
        <v>0</v>
      </c>
    </row>
    <row r="61" spans="1:26" s="93" customFormat="1" ht="36" customHeight="1">
      <c r="A61" s="44">
        <v>11</v>
      </c>
      <c r="B61" s="51" t="s">
        <v>142</v>
      </c>
      <c r="C61" s="44" t="s">
        <v>348</v>
      </c>
      <c r="D61" s="44"/>
      <c r="E61" s="44" t="s">
        <v>307</v>
      </c>
      <c r="F61" s="44">
        <v>0.66800000000000004</v>
      </c>
      <c r="G61" s="115">
        <v>6</v>
      </c>
      <c r="H61" s="92"/>
      <c r="I61" s="92"/>
      <c r="J61" s="162"/>
      <c r="K61" s="162"/>
      <c r="L61" s="248"/>
      <c r="M61" s="162"/>
      <c r="N61" s="162"/>
      <c r="O61" s="92"/>
      <c r="P61" s="92"/>
      <c r="Q61" s="162"/>
      <c r="R61" s="162"/>
      <c r="S61" s="162"/>
      <c r="T61" s="174"/>
      <c r="U61" s="92"/>
      <c r="V61" s="92"/>
      <c r="W61" s="92"/>
      <c r="X61" s="92"/>
      <c r="Y61" s="72">
        <f t="shared" si="3"/>
        <v>0</v>
      </c>
      <c r="Z61" s="177">
        <f t="shared" si="4"/>
        <v>0</v>
      </c>
    </row>
    <row r="62" spans="1:26" ht="36.75" customHeight="1">
      <c r="A62" s="65" t="s">
        <v>306</v>
      </c>
      <c r="B62" s="66" t="s">
        <v>399</v>
      </c>
      <c r="C62" s="66"/>
      <c r="D62" s="66"/>
      <c r="E62" s="65" t="s">
        <v>307</v>
      </c>
      <c r="F62" s="65"/>
      <c r="G62" s="110"/>
      <c r="H62" s="67"/>
      <c r="I62" s="67"/>
      <c r="J62" s="67"/>
      <c r="K62" s="67"/>
      <c r="L62" s="246"/>
      <c r="M62" s="67"/>
      <c r="N62" s="67"/>
      <c r="O62" s="67"/>
      <c r="P62" s="67"/>
      <c r="Q62" s="67"/>
      <c r="R62" s="67"/>
      <c r="S62" s="67"/>
      <c r="T62" s="178"/>
      <c r="U62" s="67"/>
      <c r="V62" s="67"/>
      <c r="W62" s="67"/>
      <c r="X62" s="67"/>
      <c r="Y62" s="67">
        <f>SUM(Y63:Y70)</f>
        <v>0</v>
      </c>
      <c r="Z62" s="179">
        <f>SUM(Z63:Z70)</f>
        <v>0</v>
      </c>
    </row>
    <row r="63" spans="1:26" s="73" customFormat="1" ht="36.75" customHeight="1">
      <c r="A63" s="44">
        <v>1</v>
      </c>
      <c r="B63" s="48" t="s">
        <v>408</v>
      </c>
      <c r="C63" s="44" t="s">
        <v>400</v>
      </c>
      <c r="D63" s="44"/>
      <c r="E63" s="44" t="s">
        <v>307</v>
      </c>
      <c r="F63" s="71">
        <v>2.125</v>
      </c>
      <c r="G63" s="112">
        <v>6</v>
      </c>
      <c r="H63" s="44"/>
      <c r="I63" s="44"/>
      <c r="J63" s="44"/>
      <c r="K63" s="44"/>
      <c r="L63" s="245"/>
      <c r="M63" s="44"/>
      <c r="N63" s="44"/>
      <c r="O63" s="44"/>
      <c r="P63" s="44"/>
      <c r="Q63" s="44"/>
      <c r="R63" s="44"/>
      <c r="S63" s="44"/>
      <c r="T63" s="128"/>
      <c r="U63" s="44"/>
      <c r="V63" s="44"/>
      <c r="W63" s="44"/>
      <c r="X63" s="44"/>
      <c r="Y63" s="72">
        <f t="shared" ref="Y63:Y70" si="5">SUM(H63:X63)</f>
        <v>0</v>
      </c>
      <c r="Z63" s="177">
        <f t="shared" ref="Z63:Z70" si="6">F63*Y63*6</f>
        <v>0</v>
      </c>
    </row>
    <row r="64" spans="1:26" s="73" customFormat="1" ht="36.75" customHeight="1">
      <c r="A64" s="44">
        <v>2</v>
      </c>
      <c r="B64" s="48" t="s">
        <v>409</v>
      </c>
      <c r="C64" s="44" t="s">
        <v>401</v>
      </c>
      <c r="D64" s="44"/>
      <c r="E64" s="44" t="s">
        <v>307</v>
      </c>
      <c r="F64" s="71">
        <v>2.0739999999999998</v>
      </c>
      <c r="G64" s="112">
        <v>6</v>
      </c>
      <c r="H64" s="44"/>
      <c r="I64" s="44"/>
      <c r="J64" s="44"/>
      <c r="K64" s="44"/>
      <c r="L64" s="245"/>
      <c r="M64" s="44"/>
      <c r="N64" s="44"/>
      <c r="O64" s="44"/>
      <c r="P64" s="44"/>
      <c r="Q64" s="44"/>
      <c r="R64" s="44"/>
      <c r="S64" s="44"/>
      <c r="T64" s="128"/>
      <c r="U64" s="44"/>
      <c r="V64" s="44"/>
      <c r="W64" s="44"/>
      <c r="X64" s="44"/>
      <c r="Y64" s="72">
        <f t="shared" si="5"/>
        <v>0</v>
      </c>
      <c r="Z64" s="177">
        <f t="shared" si="6"/>
        <v>0</v>
      </c>
    </row>
    <row r="65" spans="1:26" s="73" customFormat="1" ht="36.75" customHeight="1">
      <c r="A65" s="44">
        <v>3</v>
      </c>
      <c r="B65" s="48" t="s">
        <v>410</v>
      </c>
      <c r="C65" s="44" t="s">
        <v>402</v>
      </c>
      <c r="D65" s="44"/>
      <c r="E65" s="44" t="s">
        <v>307</v>
      </c>
      <c r="F65" s="71">
        <v>0.89600000000000002</v>
      </c>
      <c r="G65" s="112">
        <v>6</v>
      </c>
      <c r="H65" s="44"/>
      <c r="I65" s="44"/>
      <c r="J65" s="44"/>
      <c r="K65" s="44"/>
      <c r="L65" s="245"/>
      <c r="M65" s="44"/>
      <c r="N65" s="44"/>
      <c r="O65" s="44"/>
      <c r="P65" s="44"/>
      <c r="Q65" s="44"/>
      <c r="R65" s="44"/>
      <c r="S65" s="44"/>
      <c r="T65" s="128"/>
      <c r="U65" s="44"/>
      <c r="V65" s="44"/>
      <c r="W65" s="44"/>
      <c r="X65" s="44"/>
      <c r="Y65" s="72">
        <f t="shared" si="5"/>
        <v>0</v>
      </c>
      <c r="Z65" s="177">
        <f t="shared" si="6"/>
        <v>0</v>
      </c>
    </row>
    <row r="66" spans="1:26" s="73" customFormat="1" ht="36.75" customHeight="1">
      <c r="A66" s="44">
        <v>4</v>
      </c>
      <c r="B66" s="48" t="s">
        <v>411</v>
      </c>
      <c r="C66" s="44" t="s">
        <v>403</v>
      </c>
      <c r="D66" s="44"/>
      <c r="E66" s="44" t="s">
        <v>307</v>
      </c>
      <c r="F66" s="71">
        <v>1.1499999999999999</v>
      </c>
      <c r="G66" s="112">
        <v>6</v>
      </c>
      <c r="H66" s="44"/>
      <c r="I66" s="44"/>
      <c r="J66" s="44"/>
      <c r="K66" s="44"/>
      <c r="L66" s="245"/>
      <c r="M66" s="44"/>
      <c r="N66" s="44"/>
      <c r="O66" s="44"/>
      <c r="P66" s="44"/>
      <c r="Q66" s="44"/>
      <c r="R66" s="44"/>
      <c r="S66" s="44"/>
      <c r="T66" s="128"/>
      <c r="U66" s="44"/>
      <c r="V66" s="44"/>
      <c r="W66" s="44"/>
      <c r="X66" s="44"/>
      <c r="Y66" s="72">
        <f t="shared" si="5"/>
        <v>0</v>
      </c>
      <c r="Z66" s="177">
        <f t="shared" si="6"/>
        <v>0</v>
      </c>
    </row>
    <row r="67" spans="1:26" s="73" customFormat="1" ht="36.75" customHeight="1">
      <c r="A67" s="44">
        <v>5</v>
      </c>
      <c r="B67" s="48" t="s">
        <v>412</v>
      </c>
      <c r="C67" s="44" t="s">
        <v>404</v>
      </c>
      <c r="D67" s="44"/>
      <c r="E67" s="44" t="s">
        <v>307</v>
      </c>
      <c r="F67" s="71">
        <v>0.372</v>
      </c>
      <c r="G67" s="112">
        <v>6</v>
      </c>
      <c r="H67" s="44"/>
      <c r="I67" s="44"/>
      <c r="J67" s="44"/>
      <c r="K67" s="44"/>
      <c r="L67" s="245"/>
      <c r="M67" s="44"/>
      <c r="N67" s="44"/>
      <c r="O67" s="44"/>
      <c r="P67" s="44"/>
      <c r="Q67" s="44"/>
      <c r="R67" s="44"/>
      <c r="S67" s="44"/>
      <c r="T67" s="128"/>
      <c r="U67" s="44"/>
      <c r="V67" s="44"/>
      <c r="W67" s="44"/>
      <c r="X67" s="44"/>
      <c r="Y67" s="72">
        <f t="shared" si="5"/>
        <v>0</v>
      </c>
      <c r="Z67" s="177">
        <f t="shared" si="6"/>
        <v>0</v>
      </c>
    </row>
    <row r="68" spans="1:26" s="73" customFormat="1" ht="36.75" customHeight="1">
      <c r="A68" s="44">
        <v>6</v>
      </c>
      <c r="B68" s="48" t="s">
        <v>413</v>
      </c>
      <c r="C68" s="44" t="s">
        <v>405</v>
      </c>
      <c r="D68" s="44"/>
      <c r="E68" s="44" t="s">
        <v>307</v>
      </c>
      <c r="F68" s="71">
        <v>0.3</v>
      </c>
      <c r="G68" s="112">
        <v>6</v>
      </c>
      <c r="H68" s="44"/>
      <c r="I68" s="44"/>
      <c r="J68" s="44"/>
      <c r="K68" s="44"/>
      <c r="L68" s="245"/>
      <c r="M68" s="44"/>
      <c r="N68" s="44"/>
      <c r="O68" s="44"/>
      <c r="P68" s="44"/>
      <c r="Q68" s="44"/>
      <c r="R68" s="44"/>
      <c r="S68" s="44"/>
      <c r="T68" s="128"/>
      <c r="U68" s="44"/>
      <c r="V68" s="44"/>
      <c r="W68" s="44"/>
      <c r="X68" s="44"/>
      <c r="Y68" s="72">
        <f t="shared" si="5"/>
        <v>0</v>
      </c>
      <c r="Z68" s="177">
        <f t="shared" si="6"/>
        <v>0</v>
      </c>
    </row>
    <row r="69" spans="1:26" s="73" customFormat="1" ht="36.75" customHeight="1">
      <c r="A69" s="44">
        <v>7</v>
      </c>
      <c r="B69" s="48" t="s">
        <v>287</v>
      </c>
      <c r="C69" s="44" t="s">
        <v>406</v>
      </c>
      <c r="D69" s="44"/>
      <c r="E69" s="44" t="s">
        <v>307</v>
      </c>
      <c r="F69" s="71">
        <v>0.192</v>
      </c>
      <c r="G69" s="112">
        <v>6</v>
      </c>
      <c r="H69" s="44"/>
      <c r="I69" s="44"/>
      <c r="J69" s="44"/>
      <c r="K69" s="44"/>
      <c r="L69" s="245"/>
      <c r="M69" s="44"/>
      <c r="N69" s="44"/>
      <c r="O69" s="44"/>
      <c r="P69" s="44"/>
      <c r="Q69" s="44"/>
      <c r="R69" s="44"/>
      <c r="S69" s="44"/>
      <c r="T69" s="128"/>
      <c r="U69" s="44"/>
      <c r="V69" s="44"/>
      <c r="W69" s="44"/>
      <c r="X69" s="44"/>
      <c r="Y69" s="72">
        <f t="shared" si="5"/>
        <v>0</v>
      </c>
      <c r="Z69" s="177">
        <f t="shared" si="6"/>
        <v>0</v>
      </c>
    </row>
    <row r="70" spans="1:26" s="73" customFormat="1" ht="36.75" customHeight="1">
      <c r="A70" s="44">
        <v>8</v>
      </c>
      <c r="B70" s="48" t="s">
        <v>414</v>
      </c>
      <c r="C70" s="44" t="s">
        <v>407</v>
      </c>
      <c r="D70" s="44"/>
      <c r="E70" s="44" t="s">
        <v>307</v>
      </c>
      <c r="F70" s="71">
        <v>1.46</v>
      </c>
      <c r="G70" s="112">
        <v>6</v>
      </c>
      <c r="H70" s="44"/>
      <c r="I70" s="44"/>
      <c r="J70" s="44"/>
      <c r="K70" s="44"/>
      <c r="L70" s="245"/>
      <c r="M70" s="44"/>
      <c r="N70" s="44"/>
      <c r="O70" s="44"/>
      <c r="P70" s="44"/>
      <c r="Q70" s="44"/>
      <c r="R70" s="44"/>
      <c r="S70" s="44"/>
      <c r="T70" s="128"/>
      <c r="U70" s="44"/>
      <c r="V70" s="44"/>
      <c r="W70" s="44"/>
      <c r="X70" s="44"/>
      <c r="Y70" s="72">
        <f t="shared" si="5"/>
        <v>0</v>
      </c>
      <c r="Z70" s="177">
        <f t="shared" si="6"/>
        <v>0</v>
      </c>
    </row>
    <row r="71" spans="1:26" ht="36.75" customHeight="1">
      <c r="A71" s="65" t="s">
        <v>306</v>
      </c>
      <c r="B71" s="66" t="s">
        <v>119</v>
      </c>
      <c r="C71" s="66"/>
      <c r="D71" s="66"/>
      <c r="E71" s="65" t="s">
        <v>307</v>
      </c>
      <c r="F71" s="65"/>
      <c r="G71" s="110"/>
      <c r="H71" s="67"/>
      <c r="I71" s="67"/>
      <c r="J71" s="67"/>
      <c r="K71" s="67"/>
      <c r="L71" s="246"/>
      <c r="M71" s="67"/>
      <c r="N71" s="67"/>
      <c r="O71" s="67"/>
      <c r="P71" s="67"/>
      <c r="Q71" s="67"/>
      <c r="R71" s="67"/>
      <c r="S71" s="67"/>
      <c r="T71" s="178"/>
      <c r="U71" s="67"/>
      <c r="V71" s="67"/>
      <c r="W71" s="67"/>
      <c r="X71" s="67"/>
      <c r="Y71" s="67">
        <f>SUM(Y72:Y95)</f>
        <v>40</v>
      </c>
      <c r="Z71" s="179">
        <f>SUM(Z72:Z95)</f>
        <v>381.84</v>
      </c>
    </row>
    <row r="72" spans="1:26" s="73" customFormat="1" ht="36.75" customHeight="1">
      <c r="A72" s="44">
        <v>1</v>
      </c>
      <c r="B72" s="51" t="s">
        <v>351</v>
      </c>
      <c r="C72" s="44" t="s">
        <v>352</v>
      </c>
      <c r="D72" s="44"/>
      <c r="E72" s="44" t="s">
        <v>307</v>
      </c>
      <c r="F72" s="71">
        <v>2</v>
      </c>
      <c r="G72" s="112">
        <v>6</v>
      </c>
      <c r="H72" s="44"/>
      <c r="I72" s="44">
        <v>11</v>
      </c>
      <c r="J72" s="44"/>
      <c r="K72" s="44"/>
      <c r="L72" s="245"/>
      <c r="M72" s="44"/>
      <c r="N72" s="44"/>
      <c r="O72" s="44"/>
      <c r="P72" s="44"/>
      <c r="Q72" s="44"/>
      <c r="R72" s="44"/>
      <c r="S72" s="44"/>
      <c r="T72" s="128"/>
      <c r="U72" s="44"/>
      <c r="V72" s="44"/>
      <c r="W72" s="44"/>
      <c r="X72" s="44"/>
      <c r="Y72" s="72">
        <f t="shared" ref="Y72:Y95" si="7">SUM(H72:X72)</f>
        <v>11</v>
      </c>
      <c r="Z72" s="177">
        <f t="shared" ref="Z72:Z95" si="8">F72*Y72*6</f>
        <v>132</v>
      </c>
    </row>
    <row r="73" spans="1:26" s="73" customFormat="1" ht="36.75" customHeight="1">
      <c r="A73" s="44">
        <v>2</v>
      </c>
      <c r="B73" s="51" t="s">
        <v>353</v>
      </c>
      <c r="C73" s="44" t="s">
        <v>354</v>
      </c>
      <c r="D73" s="44"/>
      <c r="E73" s="44" t="s">
        <v>307</v>
      </c>
      <c r="F73" s="71">
        <v>1.51</v>
      </c>
      <c r="G73" s="112">
        <v>6</v>
      </c>
      <c r="H73" s="44"/>
      <c r="I73" s="44"/>
      <c r="J73" s="44"/>
      <c r="K73" s="44"/>
      <c r="L73" s="245"/>
      <c r="M73" s="44"/>
      <c r="N73" s="44"/>
      <c r="O73" s="44"/>
      <c r="P73" s="44"/>
      <c r="Q73" s="44"/>
      <c r="R73" s="44"/>
      <c r="S73" s="44"/>
      <c r="T73" s="128"/>
      <c r="U73" s="44"/>
      <c r="V73" s="44"/>
      <c r="W73" s="44"/>
      <c r="X73" s="44"/>
      <c r="Y73" s="72">
        <f t="shared" si="7"/>
        <v>0</v>
      </c>
      <c r="Z73" s="177">
        <f t="shared" si="8"/>
        <v>0</v>
      </c>
    </row>
    <row r="74" spans="1:26" s="73" customFormat="1" ht="36.75" customHeight="1">
      <c r="A74" s="44">
        <v>3</v>
      </c>
      <c r="B74" s="51" t="s">
        <v>44</v>
      </c>
      <c r="C74" s="44" t="s">
        <v>355</v>
      </c>
      <c r="D74" s="44"/>
      <c r="E74" s="44" t="s">
        <v>307</v>
      </c>
      <c r="F74" s="71">
        <v>0.86</v>
      </c>
      <c r="G74" s="112">
        <v>6</v>
      </c>
      <c r="H74" s="44"/>
      <c r="I74" s="44">
        <v>3</v>
      </c>
      <c r="J74" s="44"/>
      <c r="K74" s="44"/>
      <c r="L74" s="245"/>
      <c r="M74" s="44"/>
      <c r="N74" s="44"/>
      <c r="O74" s="44"/>
      <c r="P74" s="44"/>
      <c r="Q74" s="44"/>
      <c r="R74" s="44"/>
      <c r="S74" s="44"/>
      <c r="T74" s="128"/>
      <c r="U74" s="44"/>
      <c r="V74" s="44"/>
      <c r="W74" s="44"/>
      <c r="X74" s="44"/>
      <c r="Y74" s="72">
        <f t="shared" si="7"/>
        <v>3</v>
      </c>
      <c r="Z74" s="177">
        <f t="shared" si="8"/>
        <v>15.48</v>
      </c>
    </row>
    <row r="75" spans="1:26" s="73" customFormat="1" ht="36.75" customHeight="1">
      <c r="A75" s="44">
        <v>4</v>
      </c>
      <c r="B75" s="51" t="s">
        <v>359</v>
      </c>
      <c r="C75" s="44" t="s">
        <v>357</v>
      </c>
      <c r="D75" s="44"/>
      <c r="E75" s="44" t="s">
        <v>307</v>
      </c>
      <c r="F75" s="71">
        <v>1.36</v>
      </c>
      <c r="G75" s="112">
        <v>6</v>
      </c>
      <c r="H75" s="44"/>
      <c r="I75" s="44">
        <v>3</v>
      </c>
      <c r="J75" s="44"/>
      <c r="K75" s="44"/>
      <c r="L75" s="245"/>
      <c r="M75" s="44"/>
      <c r="N75" s="44"/>
      <c r="O75" s="44"/>
      <c r="P75" s="44"/>
      <c r="Q75" s="44"/>
      <c r="R75" s="44"/>
      <c r="S75" s="44"/>
      <c r="T75" s="128"/>
      <c r="U75" s="44"/>
      <c r="V75" s="44"/>
      <c r="W75" s="44"/>
      <c r="X75" s="44"/>
      <c r="Y75" s="72">
        <f t="shared" si="7"/>
        <v>3</v>
      </c>
      <c r="Z75" s="177">
        <f t="shared" si="8"/>
        <v>24.48</v>
      </c>
    </row>
    <row r="76" spans="1:26" s="73" customFormat="1" ht="36.75" customHeight="1">
      <c r="A76" s="44">
        <v>5</v>
      </c>
      <c r="B76" s="51" t="s">
        <v>356</v>
      </c>
      <c r="C76" s="44" t="s">
        <v>358</v>
      </c>
      <c r="D76" s="44"/>
      <c r="E76" s="44" t="s">
        <v>307</v>
      </c>
      <c r="F76" s="71">
        <v>1.3</v>
      </c>
      <c r="G76" s="112">
        <v>6</v>
      </c>
      <c r="H76" s="44"/>
      <c r="I76" s="44">
        <v>3</v>
      </c>
      <c r="J76" s="44"/>
      <c r="K76" s="44"/>
      <c r="L76" s="245"/>
      <c r="M76" s="44"/>
      <c r="N76" s="44"/>
      <c r="O76" s="44"/>
      <c r="P76" s="44"/>
      <c r="Q76" s="44"/>
      <c r="R76" s="44"/>
      <c r="S76" s="44"/>
      <c r="T76" s="128"/>
      <c r="U76" s="44"/>
      <c r="V76" s="44"/>
      <c r="W76" s="44"/>
      <c r="X76" s="44"/>
      <c r="Y76" s="72">
        <f t="shared" si="7"/>
        <v>3</v>
      </c>
      <c r="Z76" s="177">
        <f t="shared" si="8"/>
        <v>23.400000000000002</v>
      </c>
    </row>
    <row r="77" spans="1:26" s="73" customFormat="1" ht="36.75" customHeight="1">
      <c r="A77" s="44">
        <v>6</v>
      </c>
      <c r="B77" s="51" t="s">
        <v>8</v>
      </c>
      <c r="C77" s="44" t="s">
        <v>360</v>
      </c>
      <c r="D77" s="44"/>
      <c r="E77" s="44" t="s">
        <v>307</v>
      </c>
      <c r="F77" s="71">
        <v>2.02</v>
      </c>
      <c r="G77" s="112">
        <v>6</v>
      </c>
      <c r="H77" s="44">
        <v>1</v>
      </c>
      <c r="I77" s="44">
        <v>12</v>
      </c>
      <c r="J77" s="44"/>
      <c r="K77" s="44"/>
      <c r="L77" s="245"/>
      <c r="M77" s="44"/>
      <c r="N77" s="44"/>
      <c r="O77" s="44"/>
      <c r="P77" s="44"/>
      <c r="Q77" s="44"/>
      <c r="R77" s="44"/>
      <c r="S77" s="44"/>
      <c r="T77" s="128"/>
      <c r="U77" s="44"/>
      <c r="V77" s="44"/>
      <c r="W77" s="44"/>
      <c r="X77" s="44"/>
      <c r="Y77" s="72">
        <f t="shared" si="7"/>
        <v>13</v>
      </c>
      <c r="Z77" s="177">
        <f t="shared" si="8"/>
        <v>157.56</v>
      </c>
    </row>
    <row r="78" spans="1:26" s="73" customFormat="1" ht="36.75" customHeight="1">
      <c r="A78" s="44">
        <v>7</v>
      </c>
      <c r="B78" s="51" t="s">
        <v>42</v>
      </c>
      <c r="C78" s="44" t="s">
        <v>361</v>
      </c>
      <c r="D78" s="44"/>
      <c r="E78" s="44" t="s">
        <v>307</v>
      </c>
      <c r="F78" s="71">
        <v>0.47</v>
      </c>
      <c r="G78" s="112">
        <v>6</v>
      </c>
      <c r="H78" s="44"/>
      <c r="I78" s="44">
        <v>5</v>
      </c>
      <c r="J78" s="44"/>
      <c r="K78" s="44"/>
      <c r="L78" s="245"/>
      <c r="M78" s="44"/>
      <c r="N78" s="44"/>
      <c r="O78" s="44"/>
      <c r="P78" s="44"/>
      <c r="Q78" s="44"/>
      <c r="R78" s="44"/>
      <c r="S78" s="44"/>
      <c r="T78" s="128"/>
      <c r="U78" s="44"/>
      <c r="V78" s="44"/>
      <c r="W78" s="44"/>
      <c r="X78" s="44"/>
      <c r="Y78" s="72">
        <f t="shared" si="7"/>
        <v>5</v>
      </c>
      <c r="Z78" s="177">
        <f t="shared" si="8"/>
        <v>14.099999999999998</v>
      </c>
    </row>
    <row r="79" spans="1:26" s="73" customFormat="1" ht="36.75" customHeight="1">
      <c r="A79" s="44">
        <v>8</v>
      </c>
      <c r="B79" s="51" t="s">
        <v>362</v>
      </c>
      <c r="C79" s="44" t="s">
        <v>363</v>
      </c>
      <c r="D79" s="44"/>
      <c r="E79" s="44" t="s">
        <v>307</v>
      </c>
      <c r="F79" s="71">
        <v>0.47599999999999998</v>
      </c>
      <c r="G79" s="112">
        <v>6</v>
      </c>
      <c r="H79" s="44"/>
      <c r="I79" s="44"/>
      <c r="J79" s="44"/>
      <c r="K79" s="44"/>
      <c r="L79" s="245"/>
      <c r="M79" s="44"/>
      <c r="N79" s="44"/>
      <c r="O79" s="44"/>
      <c r="P79" s="44"/>
      <c r="Q79" s="44"/>
      <c r="R79" s="44"/>
      <c r="S79" s="44"/>
      <c r="T79" s="128"/>
      <c r="U79" s="44"/>
      <c r="V79" s="44"/>
      <c r="W79" s="44"/>
      <c r="X79" s="44"/>
      <c r="Y79" s="72">
        <f t="shared" si="7"/>
        <v>0</v>
      </c>
      <c r="Z79" s="177">
        <f t="shared" si="8"/>
        <v>0</v>
      </c>
    </row>
    <row r="80" spans="1:26" s="73" customFormat="1" ht="36.75" customHeight="1">
      <c r="A80" s="44">
        <v>9</v>
      </c>
      <c r="B80" s="51" t="s">
        <v>364</v>
      </c>
      <c r="C80" s="44" t="s">
        <v>365</v>
      </c>
      <c r="D80" s="44"/>
      <c r="E80" s="44" t="s">
        <v>307</v>
      </c>
      <c r="F80" s="71">
        <v>1.48</v>
      </c>
      <c r="G80" s="112">
        <v>6</v>
      </c>
      <c r="H80" s="44"/>
      <c r="I80" s="44">
        <v>1</v>
      </c>
      <c r="J80" s="44"/>
      <c r="K80" s="44"/>
      <c r="L80" s="245"/>
      <c r="M80" s="44"/>
      <c r="N80" s="44"/>
      <c r="O80" s="44"/>
      <c r="P80" s="44"/>
      <c r="Q80" s="44"/>
      <c r="R80" s="44"/>
      <c r="S80" s="44"/>
      <c r="T80" s="128"/>
      <c r="U80" s="44"/>
      <c r="V80" s="44"/>
      <c r="W80" s="44"/>
      <c r="X80" s="44"/>
      <c r="Y80" s="72">
        <f t="shared" si="7"/>
        <v>1</v>
      </c>
      <c r="Z80" s="177">
        <f t="shared" si="8"/>
        <v>8.879999999999999</v>
      </c>
    </row>
    <row r="81" spans="1:26" s="73" customFormat="1" ht="36.75" customHeight="1">
      <c r="A81" s="44">
        <v>10</v>
      </c>
      <c r="B81" s="51" t="s">
        <v>367</v>
      </c>
      <c r="C81" s="44" t="s">
        <v>366</v>
      </c>
      <c r="D81" s="44"/>
      <c r="E81" s="44" t="s">
        <v>307</v>
      </c>
      <c r="F81" s="71">
        <v>0.99</v>
      </c>
      <c r="G81" s="112">
        <v>6</v>
      </c>
      <c r="H81" s="44"/>
      <c r="I81" s="44">
        <v>1</v>
      </c>
      <c r="J81" s="44"/>
      <c r="K81" s="44"/>
      <c r="L81" s="245"/>
      <c r="M81" s="44"/>
      <c r="N81" s="44"/>
      <c r="O81" s="44"/>
      <c r="P81" s="44"/>
      <c r="Q81" s="44"/>
      <c r="R81" s="44"/>
      <c r="S81" s="44"/>
      <c r="T81" s="128"/>
      <c r="U81" s="44"/>
      <c r="V81" s="44"/>
      <c r="W81" s="44"/>
      <c r="X81" s="44"/>
      <c r="Y81" s="72">
        <f t="shared" si="7"/>
        <v>1</v>
      </c>
      <c r="Z81" s="177">
        <f t="shared" si="8"/>
        <v>5.9399999999999995</v>
      </c>
    </row>
    <row r="82" spans="1:26" s="73" customFormat="1" ht="36.75" customHeight="1">
      <c r="A82" s="44">
        <v>11</v>
      </c>
      <c r="B82" s="51" t="s">
        <v>370</v>
      </c>
      <c r="C82" s="44" t="s">
        <v>369</v>
      </c>
      <c r="D82" s="44"/>
      <c r="E82" s="44" t="s">
        <v>307</v>
      </c>
      <c r="F82" s="71">
        <v>0.31</v>
      </c>
      <c r="G82" s="112">
        <v>6</v>
      </c>
      <c r="H82" s="44"/>
      <c r="I82" s="44"/>
      <c r="J82" s="44"/>
      <c r="K82" s="44"/>
      <c r="L82" s="245"/>
      <c r="M82" s="44"/>
      <c r="N82" s="44"/>
      <c r="O82" s="44"/>
      <c r="P82" s="44"/>
      <c r="Q82" s="44"/>
      <c r="R82" s="44"/>
      <c r="S82" s="44"/>
      <c r="T82" s="128"/>
      <c r="U82" s="44"/>
      <c r="V82" s="44"/>
      <c r="W82" s="44"/>
      <c r="X82" s="44"/>
      <c r="Y82" s="72">
        <f t="shared" si="7"/>
        <v>0</v>
      </c>
      <c r="Z82" s="177">
        <f t="shared" si="8"/>
        <v>0</v>
      </c>
    </row>
    <row r="83" spans="1:26" s="73" customFormat="1" ht="36.75" customHeight="1">
      <c r="A83" s="44">
        <v>12</v>
      </c>
      <c r="B83" s="51" t="s">
        <v>372</v>
      </c>
      <c r="C83" s="44" t="s">
        <v>368</v>
      </c>
      <c r="D83" s="44"/>
      <c r="E83" s="44" t="s">
        <v>307</v>
      </c>
      <c r="F83" s="71">
        <v>0.27800000000000002</v>
      </c>
      <c r="G83" s="112">
        <v>6</v>
      </c>
      <c r="H83" s="44"/>
      <c r="I83" s="44"/>
      <c r="J83" s="44"/>
      <c r="K83" s="44"/>
      <c r="L83" s="245"/>
      <c r="M83" s="44"/>
      <c r="N83" s="44"/>
      <c r="O83" s="44"/>
      <c r="P83" s="44"/>
      <c r="Q83" s="44"/>
      <c r="R83" s="44"/>
      <c r="S83" s="44"/>
      <c r="T83" s="128"/>
      <c r="U83" s="44"/>
      <c r="V83" s="44"/>
      <c r="W83" s="44"/>
      <c r="X83" s="44"/>
      <c r="Y83" s="72">
        <f t="shared" si="7"/>
        <v>0</v>
      </c>
      <c r="Z83" s="177">
        <f t="shared" si="8"/>
        <v>0</v>
      </c>
    </row>
    <row r="84" spans="1:26" s="73" customFormat="1" ht="36.75" customHeight="1">
      <c r="A84" s="44">
        <v>13</v>
      </c>
      <c r="B84" s="51" t="s">
        <v>373</v>
      </c>
      <c r="C84" s="44" t="s">
        <v>371</v>
      </c>
      <c r="D84" s="44"/>
      <c r="E84" s="44" t="s">
        <v>307</v>
      </c>
      <c r="F84" s="71">
        <v>0.33700000000000002</v>
      </c>
      <c r="G84" s="112">
        <v>6</v>
      </c>
      <c r="H84" s="44"/>
      <c r="I84" s="44"/>
      <c r="J84" s="44"/>
      <c r="K84" s="44"/>
      <c r="L84" s="245"/>
      <c r="M84" s="44"/>
      <c r="N84" s="44"/>
      <c r="O84" s="44"/>
      <c r="P84" s="44"/>
      <c r="Q84" s="44"/>
      <c r="R84" s="44"/>
      <c r="S84" s="44"/>
      <c r="T84" s="128"/>
      <c r="U84" s="44"/>
      <c r="V84" s="44"/>
      <c r="W84" s="44"/>
      <c r="X84" s="44"/>
      <c r="Y84" s="72">
        <f t="shared" si="7"/>
        <v>0</v>
      </c>
      <c r="Z84" s="177">
        <f t="shared" si="8"/>
        <v>0</v>
      </c>
    </row>
    <row r="85" spans="1:26" s="73" customFormat="1" ht="36.75" customHeight="1">
      <c r="A85" s="44">
        <v>14</v>
      </c>
      <c r="B85" s="51" t="s">
        <v>374</v>
      </c>
      <c r="C85" s="44" t="s">
        <v>375</v>
      </c>
      <c r="D85" s="44"/>
      <c r="E85" s="44" t="s">
        <v>307</v>
      </c>
      <c r="F85" s="71">
        <v>2.85</v>
      </c>
      <c r="G85" s="112">
        <v>6</v>
      </c>
      <c r="H85" s="44"/>
      <c r="I85" s="44"/>
      <c r="J85" s="44"/>
      <c r="K85" s="44"/>
      <c r="L85" s="245"/>
      <c r="M85" s="44"/>
      <c r="N85" s="44"/>
      <c r="O85" s="44"/>
      <c r="P85" s="44"/>
      <c r="Q85" s="44"/>
      <c r="R85" s="44"/>
      <c r="S85" s="44"/>
      <c r="T85" s="128"/>
      <c r="U85" s="44"/>
      <c r="V85" s="44"/>
      <c r="W85" s="44"/>
      <c r="X85" s="44"/>
      <c r="Y85" s="72">
        <f t="shared" si="7"/>
        <v>0</v>
      </c>
      <c r="Z85" s="177">
        <f t="shared" si="8"/>
        <v>0</v>
      </c>
    </row>
    <row r="86" spans="1:26" s="73" customFormat="1" ht="36.75" customHeight="1">
      <c r="A86" s="44">
        <v>15</v>
      </c>
      <c r="B86" s="51" t="s">
        <v>376</v>
      </c>
      <c r="C86" s="44" t="s">
        <v>377</v>
      </c>
      <c r="D86" s="44"/>
      <c r="E86" s="44" t="s">
        <v>307</v>
      </c>
      <c r="F86" s="71">
        <v>2.21</v>
      </c>
      <c r="G86" s="112">
        <v>6</v>
      </c>
      <c r="H86" s="44"/>
      <c r="I86" s="44"/>
      <c r="J86" s="44"/>
      <c r="K86" s="44"/>
      <c r="L86" s="245"/>
      <c r="M86" s="44"/>
      <c r="N86" s="44"/>
      <c r="O86" s="44"/>
      <c r="P86" s="44"/>
      <c r="Q86" s="44"/>
      <c r="R86" s="44"/>
      <c r="S86" s="44"/>
      <c r="T86" s="128"/>
      <c r="U86" s="44"/>
      <c r="V86" s="44"/>
      <c r="W86" s="44"/>
      <c r="X86" s="44"/>
      <c r="Y86" s="72">
        <f t="shared" si="7"/>
        <v>0</v>
      </c>
      <c r="Z86" s="177">
        <f t="shared" si="8"/>
        <v>0</v>
      </c>
    </row>
    <row r="87" spans="1:26" s="73" customFormat="1" ht="36.75" customHeight="1">
      <c r="A87" s="44">
        <v>16</v>
      </c>
      <c r="B87" s="51" t="s">
        <v>378</v>
      </c>
      <c r="C87" s="44" t="s">
        <v>379</v>
      </c>
      <c r="D87" s="44"/>
      <c r="E87" s="44" t="s">
        <v>307</v>
      </c>
      <c r="F87" s="71">
        <v>0.62</v>
      </c>
      <c r="G87" s="112">
        <v>6</v>
      </c>
      <c r="H87" s="44"/>
      <c r="I87" s="44"/>
      <c r="J87" s="44"/>
      <c r="K87" s="44"/>
      <c r="L87" s="245"/>
      <c r="M87" s="44"/>
      <c r="N87" s="44"/>
      <c r="O87" s="44"/>
      <c r="P87" s="44"/>
      <c r="Q87" s="44"/>
      <c r="R87" s="44"/>
      <c r="S87" s="44"/>
      <c r="T87" s="128"/>
      <c r="U87" s="44"/>
      <c r="V87" s="44"/>
      <c r="W87" s="44"/>
      <c r="X87" s="44"/>
      <c r="Y87" s="72">
        <f t="shared" si="7"/>
        <v>0</v>
      </c>
      <c r="Z87" s="177">
        <f t="shared" si="8"/>
        <v>0</v>
      </c>
    </row>
    <row r="88" spans="1:26" s="73" customFormat="1" ht="36.75" customHeight="1">
      <c r="A88" s="44">
        <v>17</v>
      </c>
      <c r="B88" s="51" t="s">
        <v>380</v>
      </c>
      <c r="C88" s="44" t="s">
        <v>381</v>
      </c>
      <c r="D88" s="44"/>
      <c r="E88" s="44" t="s">
        <v>307</v>
      </c>
      <c r="F88" s="71">
        <v>0.65</v>
      </c>
      <c r="G88" s="112">
        <v>6</v>
      </c>
      <c r="H88" s="44"/>
      <c r="I88" s="44"/>
      <c r="J88" s="44"/>
      <c r="K88" s="44"/>
      <c r="L88" s="245"/>
      <c r="M88" s="44"/>
      <c r="N88" s="44"/>
      <c r="O88" s="44"/>
      <c r="P88" s="44"/>
      <c r="Q88" s="44"/>
      <c r="R88" s="44"/>
      <c r="S88" s="44"/>
      <c r="T88" s="128"/>
      <c r="U88" s="44"/>
      <c r="V88" s="44"/>
      <c r="W88" s="44"/>
      <c r="X88" s="44"/>
      <c r="Y88" s="72">
        <f t="shared" si="7"/>
        <v>0</v>
      </c>
      <c r="Z88" s="177">
        <f t="shared" si="8"/>
        <v>0</v>
      </c>
    </row>
    <row r="89" spans="1:26" s="73" customFormat="1" ht="36.75" customHeight="1">
      <c r="A89" s="44">
        <v>18</v>
      </c>
      <c r="B89" s="51" t="s">
        <v>382</v>
      </c>
      <c r="C89" s="44" t="s">
        <v>383</v>
      </c>
      <c r="D89" s="44"/>
      <c r="E89" s="44" t="s">
        <v>307</v>
      </c>
      <c r="F89" s="71">
        <v>0.63</v>
      </c>
      <c r="G89" s="112">
        <v>6</v>
      </c>
      <c r="H89" s="44"/>
      <c r="I89" s="44"/>
      <c r="J89" s="44"/>
      <c r="K89" s="44"/>
      <c r="L89" s="245"/>
      <c r="M89" s="44"/>
      <c r="N89" s="44"/>
      <c r="O89" s="44"/>
      <c r="P89" s="44"/>
      <c r="Q89" s="44"/>
      <c r="R89" s="44"/>
      <c r="S89" s="44"/>
      <c r="T89" s="128"/>
      <c r="U89" s="44"/>
      <c r="V89" s="44"/>
      <c r="W89" s="44"/>
      <c r="X89" s="44"/>
      <c r="Y89" s="72">
        <f t="shared" si="7"/>
        <v>0</v>
      </c>
      <c r="Z89" s="177">
        <f t="shared" si="8"/>
        <v>0</v>
      </c>
    </row>
    <row r="90" spans="1:26" s="73" customFormat="1" ht="36.75" customHeight="1">
      <c r="A90" s="44">
        <v>19</v>
      </c>
      <c r="B90" s="51" t="s">
        <v>384</v>
      </c>
      <c r="C90" s="44" t="s">
        <v>385</v>
      </c>
      <c r="D90" s="44"/>
      <c r="E90" s="44" t="s">
        <v>307</v>
      </c>
      <c r="F90" s="71">
        <v>0.63</v>
      </c>
      <c r="G90" s="112">
        <v>6</v>
      </c>
      <c r="H90" s="44"/>
      <c r="I90" s="44"/>
      <c r="J90" s="44"/>
      <c r="K90" s="44"/>
      <c r="L90" s="245"/>
      <c r="M90" s="44"/>
      <c r="N90" s="44"/>
      <c r="O90" s="44"/>
      <c r="P90" s="44"/>
      <c r="Q90" s="44"/>
      <c r="R90" s="44"/>
      <c r="S90" s="44"/>
      <c r="T90" s="128"/>
      <c r="U90" s="44"/>
      <c r="V90" s="44"/>
      <c r="W90" s="44"/>
      <c r="X90" s="44"/>
      <c r="Y90" s="72">
        <f t="shared" si="7"/>
        <v>0</v>
      </c>
      <c r="Z90" s="177">
        <f t="shared" si="8"/>
        <v>0</v>
      </c>
    </row>
    <row r="91" spans="1:26" s="73" customFormat="1" ht="36.75" customHeight="1">
      <c r="A91" s="44">
        <v>20</v>
      </c>
      <c r="B91" s="51" t="s">
        <v>380</v>
      </c>
      <c r="C91" s="44" t="s">
        <v>386</v>
      </c>
      <c r="D91" s="44"/>
      <c r="E91" s="44" t="s">
        <v>307</v>
      </c>
      <c r="F91" s="71">
        <v>0.62</v>
      </c>
      <c r="G91" s="112">
        <v>6</v>
      </c>
      <c r="H91" s="44"/>
      <c r="I91" s="44"/>
      <c r="J91" s="44"/>
      <c r="K91" s="44"/>
      <c r="L91" s="245"/>
      <c r="M91" s="44"/>
      <c r="N91" s="44"/>
      <c r="O91" s="44"/>
      <c r="P91" s="44"/>
      <c r="Q91" s="44"/>
      <c r="R91" s="44"/>
      <c r="S91" s="44"/>
      <c r="T91" s="128"/>
      <c r="U91" s="44"/>
      <c r="V91" s="44"/>
      <c r="W91" s="44"/>
      <c r="X91" s="44"/>
      <c r="Y91" s="72">
        <f t="shared" si="7"/>
        <v>0</v>
      </c>
      <c r="Z91" s="177">
        <f t="shared" si="8"/>
        <v>0</v>
      </c>
    </row>
    <row r="92" spans="1:26" s="73" customFormat="1" ht="36.75" customHeight="1">
      <c r="A92" s="44">
        <v>22</v>
      </c>
      <c r="B92" s="51" t="s">
        <v>387</v>
      </c>
      <c r="C92" s="44" t="s">
        <v>388</v>
      </c>
      <c r="D92" s="44"/>
      <c r="E92" s="44" t="s">
        <v>307</v>
      </c>
      <c r="F92" s="71">
        <v>0.77</v>
      </c>
      <c r="G92" s="112">
        <v>6</v>
      </c>
      <c r="H92" s="44"/>
      <c r="I92" s="44"/>
      <c r="J92" s="44"/>
      <c r="K92" s="44"/>
      <c r="L92" s="245"/>
      <c r="M92" s="44"/>
      <c r="N92" s="44"/>
      <c r="O92" s="44"/>
      <c r="P92" s="44"/>
      <c r="Q92" s="44"/>
      <c r="R92" s="44"/>
      <c r="S92" s="44"/>
      <c r="T92" s="128"/>
      <c r="U92" s="44"/>
      <c r="V92" s="44"/>
      <c r="W92" s="44"/>
      <c r="X92" s="44"/>
      <c r="Y92" s="72">
        <f t="shared" si="7"/>
        <v>0</v>
      </c>
      <c r="Z92" s="177">
        <f t="shared" si="8"/>
        <v>0</v>
      </c>
    </row>
    <row r="93" spans="1:26" s="73" customFormat="1" ht="36.75" customHeight="1">
      <c r="A93" s="44">
        <v>23</v>
      </c>
      <c r="B93" s="51" t="s">
        <v>389</v>
      </c>
      <c r="C93" s="44" t="s">
        <v>390</v>
      </c>
      <c r="D93" s="44"/>
      <c r="E93" s="44" t="s">
        <v>307</v>
      </c>
      <c r="F93" s="71">
        <v>0.1</v>
      </c>
      <c r="G93" s="112">
        <v>6</v>
      </c>
      <c r="H93" s="44"/>
      <c r="I93" s="44"/>
      <c r="J93" s="44"/>
      <c r="K93" s="44"/>
      <c r="L93" s="245"/>
      <c r="M93" s="44"/>
      <c r="N93" s="44"/>
      <c r="O93" s="44"/>
      <c r="P93" s="44"/>
      <c r="Q93" s="44"/>
      <c r="R93" s="44"/>
      <c r="S93" s="44"/>
      <c r="T93" s="128"/>
      <c r="U93" s="44"/>
      <c r="V93" s="44"/>
      <c r="W93" s="44"/>
      <c r="X93" s="44"/>
      <c r="Y93" s="72">
        <f t="shared" si="7"/>
        <v>0</v>
      </c>
      <c r="Z93" s="177">
        <f t="shared" si="8"/>
        <v>0</v>
      </c>
    </row>
    <row r="94" spans="1:26" s="73" customFormat="1" ht="36.75" customHeight="1">
      <c r="A94" s="44">
        <v>24</v>
      </c>
      <c r="B94" s="51" t="s">
        <v>391</v>
      </c>
      <c r="C94" s="44" t="s">
        <v>393</v>
      </c>
      <c r="D94" s="44"/>
      <c r="E94" s="44"/>
      <c r="F94" s="71"/>
      <c r="G94" s="112">
        <v>6</v>
      </c>
      <c r="H94" s="44"/>
      <c r="I94" s="44"/>
      <c r="J94" s="44"/>
      <c r="K94" s="44"/>
      <c r="L94" s="245"/>
      <c r="M94" s="44"/>
      <c r="N94" s="44"/>
      <c r="O94" s="44"/>
      <c r="P94" s="44"/>
      <c r="Q94" s="44"/>
      <c r="R94" s="44"/>
      <c r="S94" s="44"/>
      <c r="T94" s="128"/>
      <c r="U94" s="44"/>
      <c r="V94" s="44"/>
      <c r="W94" s="44"/>
      <c r="X94" s="44"/>
      <c r="Y94" s="72">
        <f t="shared" si="7"/>
        <v>0</v>
      </c>
      <c r="Z94" s="177">
        <f t="shared" si="8"/>
        <v>0</v>
      </c>
    </row>
    <row r="95" spans="1:26" s="73" customFormat="1" ht="36.75" customHeight="1">
      <c r="A95" s="44">
        <v>25</v>
      </c>
      <c r="B95" s="51" t="s">
        <v>391</v>
      </c>
      <c r="C95" s="44" t="s">
        <v>392</v>
      </c>
      <c r="D95" s="44"/>
      <c r="E95" s="44"/>
      <c r="F95" s="71"/>
      <c r="G95" s="112">
        <v>6</v>
      </c>
      <c r="H95" s="44"/>
      <c r="I95" s="44"/>
      <c r="J95" s="44"/>
      <c r="K95" s="44"/>
      <c r="L95" s="245"/>
      <c r="M95" s="44"/>
      <c r="N95" s="44"/>
      <c r="O95" s="44"/>
      <c r="P95" s="44"/>
      <c r="Q95" s="44"/>
      <c r="R95" s="44"/>
      <c r="S95" s="44"/>
      <c r="T95" s="128"/>
      <c r="U95" s="44"/>
      <c r="V95" s="44"/>
      <c r="W95" s="44"/>
      <c r="X95" s="44"/>
      <c r="Y95" s="72">
        <f t="shared" si="7"/>
        <v>0</v>
      </c>
      <c r="Z95" s="177">
        <f t="shared" si="8"/>
        <v>0</v>
      </c>
    </row>
    <row r="96" spans="1:26" s="78" customFormat="1" ht="40.5" customHeight="1">
      <c r="A96" s="50" t="s">
        <v>309</v>
      </c>
      <c r="B96" s="79" t="s">
        <v>293</v>
      </c>
      <c r="C96" s="80"/>
      <c r="D96" s="80"/>
      <c r="E96" s="65" t="s">
        <v>307</v>
      </c>
      <c r="F96" s="81"/>
      <c r="G96" s="116"/>
      <c r="H96" s="67"/>
      <c r="I96" s="67"/>
      <c r="J96" s="67"/>
      <c r="K96" s="67"/>
      <c r="L96" s="246"/>
      <c r="M96" s="67"/>
      <c r="N96" s="67"/>
      <c r="O96" s="67"/>
      <c r="P96" s="67"/>
      <c r="Q96" s="67"/>
      <c r="R96" s="67"/>
      <c r="S96" s="67"/>
      <c r="T96" s="178"/>
      <c r="U96" s="67"/>
      <c r="V96" s="67"/>
      <c r="W96" s="67"/>
      <c r="X96" s="67"/>
      <c r="Y96" s="67">
        <f>SUM(Y97:Y110)</f>
        <v>36</v>
      </c>
      <c r="Z96" s="179">
        <f>SUM(Z97:Z110)</f>
        <v>183.92999999999998</v>
      </c>
    </row>
    <row r="97" spans="1:27" s="78" customFormat="1" ht="40.5" customHeight="1">
      <c r="A97" s="39">
        <v>1</v>
      </c>
      <c r="B97" s="68" t="s">
        <v>278</v>
      </c>
      <c r="C97" s="49" t="s">
        <v>279</v>
      </c>
      <c r="D97" s="82"/>
      <c r="E97" s="82" t="s">
        <v>307</v>
      </c>
      <c r="F97" s="74">
        <v>1.425</v>
      </c>
      <c r="G97" s="113">
        <v>6</v>
      </c>
      <c r="H97" s="92"/>
      <c r="I97" s="92">
        <v>3</v>
      </c>
      <c r="J97" s="92">
        <v>2</v>
      </c>
      <c r="K97" s="92"/>
      <c r="L97" s="248"/>
      <c r="M97" s="92"/>
      <c r="N97" s="162"/>
      <c r="O97" s="92"/>
      <c r="P97" s="92"/>
      <c r="Q97" s="162"/>
      <c r="R97" s="92"/>
      <c r="S97" s="162"/>
      <c r="T97" s="163"/>
      <c r="U97" s="92"/>
      <c r="V97" s="92"/>
      <c r="W97" s="92"/>
      <c r="X97" s="92"/>
      <c r="Y97" s="72">
        <f t="shared" ref="Y97:Y110" si="9">SUM(H97:X97)</f>
        <v>5</v>
      </c>
      <c r="Z97" s="177">
        <f t="shared" ref="Z97:Z110" si="10">F97*Y97*6</f>
        <v>42.75</v>
      </c>
    </row>
    <row r="98" spans="1:27" s="78" customFormat="1" ht="40.5" customHeight="1">
      <c r="A98" s="39"/>
      <c r="B98" s="68" t="s">
        <v>442</v>
      </c>
      <c r="C98" s="49" t="s">
        <v>444</v>
      </c>
      <c r="D98" s="82"/>
      <c r="E98" s="82" t="s">
        <v>307</v>
      </c>
      <c r="F98" s="74">
        <v>2.15</v>
      </c>
      <c r="G98" s="113"/>
      <c r="H98" s="92"/>
      <c r="I98" s="92"/>
      <c r="J98" s="92"/>
      <c r="K98" s="92"/>
      <c r="L98" s="248"/>
      <c r="M98" s="92"/>
      <c r="N98" s="162"/>
      <c r="O98" s="92"/>
      <c r="P98" s="92"/>
      <c r="Q98" s="162"/>
      <c r="R98" s="92"/>
      <c r="S98" s="162"/>
      <c r="T98" s="163"/>
      <c r="U98" s="92"/>
      <c r="V98" s="92"/>
      <c r="W98" s="92"/>
      <c r="X98" s="92"/>
      <c r="Y98" s="72">
        <f t="shared" si="9"/>
        <v>0</v>
      </c>
      <c r="Z98" s="177">
        <f t="shared" si="10"/>
        <v>0</v>
      </c>
    </row>
    <row r="99" spans="1:27" s="78" customFormat="1" ht="40.5" customHeight="1">
      <c r="A99" s="39"/>
      <c r="B99" s="68" t="s">
        <v>443</v>
      </c>
      <c r="C99" s="49" t="s">
        <v>445</v>
      </c>
      <c r="D99" s="82"/>
      <c r="E99" s="82" t="s">
        <v>307</v>
      </c>
      <c r="F99" s="74">
        <v>1.5249999999999999</v>
      </c>
      <c r="G99" s="113"/>
      <c r="H99" s="92"/>
      <c r="I99" s="92"/>
      <c r="J99" s="92"/>
      <c r="K99" s="92"/>
      <c r="L99" s="248"/>
      <c r="M99" s="92"/>
      <c r="N99" s="162"/>
      <c r="O99" s="92"/>
      <c r="P99" s="92"/>
      <c r="Q99" s="162"/>
      <c r="R99" s="92"/>
      <c r="S99" s="162"/>
      <c r="T99" s="163"/>
      <c r="U99" s="92"/>
      <c r="V99" s="92"/>
      <c r="W99" s="92"/>
      <c r="X99" s="92"/>
      <c r="Y99" s="72">
        <f t="shared" si="9"/>
        <v>0</v>
      </c>
      <c r="Z99" s="177">
        <f t="shared" si="10"/>
        <v>0</v>
      </c>
    </row>
    <row r="100" spans="1:27" s="78" customFormat="1" ht="40.5" customHeight="1">
      <c r="A100" s="52">
        <v>2</v>
      </c>
      <c r="B100" s="53" t="s">
        <v>280</v>
      </c>
      <c r="C100" s="45" t="s">
        <v>281</v>
      </c>
      <c r="D100" s="83"/>
      <c r="E100" s="83" t="s">
        <v>307</v>
      </c>
      <c r="F100" s="74">
        <v>1.2350000000000001</v>
      </c>
      <c r="G100" s="113">
        <v>6</v>
      </c>
      <c r="H100" s="92"/>
      <c r="I100" s="92">
        <v>4</v>
      </c>
      <c r="J100" s="92">
        <v>6</v>
      </c>
      <c r="K100" s="92">
        <v>3</v>
      </c>
      <c r="L100" s="248"/>
      <c r="M100" s="92"/>
      <c r="N100" s="162"/>
      <c r="O100" s="92"/>
      <c r="P100" s="92"/>
      <c r="Q100" s="162"/>
      <c r="R100" s="92"/>
      <c r="S100" s="162"/>
      <c r="T100" s="163"/>
      <c r="U100" s="92"/>
      <c r="V100" s="92"/>
      <c r="W100" s="92"/>
      <c r="X100" s="92"/>
      <c r="Y100" s="72">
        <f t="shared" si="9"/>
        <v>13</v>
      </c>
      <c r="Z100" s="177">
        <f t="shared" si="10"/>
        <v>96.33</v>
      </c>
    </row>
    <row r="101" spans="1:27" s="78" customFormat="1" ht="40.5" customHeight="1">
      <c r="A101" s="39">
        <v>3</v>
      </c>
      <c r="B101" s="53" t="s">
        <v>282</v>
      </c>
      <c r="C101" s="45" t="s">
        <v>283</v>
      </c>
      <c r="D101" s="83"/>
      <c r="E101" s="83" t="s">
        <v>307</v>
      </c>
      <c r="F101" s="74">
        <v>1.1419999999999999</v>
      </c>
      <c r="G101" s="113">
        <v>6</v>
      </c>
      <c r="H101" s="92"/>
      <c r="I101" s="92"/>
      <c r="J101" s="92">
        <v>1</v>
      </c>
      <c r="K101" s="92"/>
      <c r="L101" s="248"/>
      <c r="M101" s="92"/>
      <c r="N101" s="162"/>
      <c r="O101" s="92"/>
      <c r="P101" s="92"/>
      <c r="Q101" s="162"/>
      <c r="R101" s="92"/>
      <c r="S101" s="162"/>
      <c r="T101" s="163"/>
      <c r="U101" s="92"/>
      <c r="V101" s="92"/>
      <c r="W101" s="92"/>
      <c r="X101" s="92"/>
      <c r="Y101" s="72">
        <f t="shared" si="9"/>
        <v>1</v>
      </c>
      <c r="Z101" s="177">
        <f t="shared" si="10"/>
        <v>6.8519999999999994</v>
      </c>
    </row>
    <row r="102" spans="1:27" s="78" customFormat="1" ht="40.5" customHeight="1">
      <c r="A102" s="52">
        <v>4</v>
      </c>
      <c r="B102" s="85" t="s">
        <v>284</v>
      </c>
      <c r="C102" s="45" t="s">
        <v>285</v>
      </c>
      <c r="D102" s="83"/>
      <c r="E102" s="83" t="s">
        <v>307</v>
      </c>
      <c r="F102" s="74">
        <v>0.443</v>
      </c>
      <c r="G102" s="113">
        <v>6</v>
      </c>
      <c r="H102" s="92"/>
      <c r="I102" s="92">
        <v>2</v>
      </c>
      <c r="J102" s="92">
        <v>2</v>
      </c>
      <c r="K102" s="92"/>
      <c r="L102" s="248"/>
      <c r="M102" s="92"/>
      <c r="N102" s="162"/>
      <c r="O102" s="92"/>
      <c r="P102" s="92"/>
      <c r="Q102" s="162"/>
      <c r="R102" s="92"/>
      <c r="S102" s="162"/>
      <c r="T102" s="163"/>
      <c r="U102" s="92"/>
      <c r="V102" s="92"/>
      <c r="W102" s="92"/>
      <c r="X102" s="92"/>
      <c r="Y102" s="72">
        <f t="shared" si="9"/>
        <v>4</v>
      </c>
      <c r="Z102" s="177">
        <f t="shared" si="10"/>
        <v>10.632</v>
      </c>
    </row>
    <row r="103" spans="1:27" s="78" customFormat="1" ht="40.5" customHeight="1">
      <c r="A103" s="39">
        <v>5</v>
      </c>
      <c r="B103" s="86" t="s">
        <v>286</v>
      </c>
      <c r="C103" s="45" t="s">
        <v>441</v>
      </c>
      <c r="D103" s="82"/>
      <c r="E103" s="82" t="s">
        <v>307</v>
      </c>
      <c r="F103" s="74">
        <v>0.92</v>
      </c>
      <c r="G103" s="113">
        <v>6</v>
      </c>
      <c r="H103" s="92"/>
      <c r="I103" s="92">
        <v>2</v>
      </c>
      <c r="J103" s="92"/>
      <c r="K103" s="92"/>
      <c r="L103" s="248"/>
      <c r="M103" s="92"/>
      <c r="N103" s="162"/>
      <c r="O103" s="92"/>
      <c r="P103" s="92"/>
      <c r="Q103" s="162"/>
      <c r="R103" s="92"/>
      <c r="S103" s="162"/>
      <c r="T103" s="163"/>
      <c r="U103" s="92"/>
      <c r="V103" s="92"/>
      <c r="W103" s="92"/>
      <c r="X103" s="92"/>
      <c r="Y103" s="72">
        <f t="shared" si="9"/>
        <v>2</v>
      </c>
      <c r="Z103" s="177">
        <f t="shared" si="10"/>
        <v>11.040000000000001</v>
      </c>
    </row>
    <row r="104" spans="1:27" s="78" customFormat="1" ht="40.5" customHeight="1">
      <c r="A104" s="52">
        <v>6</v>
      </c>
      <c r="B104" s="86" t="s">
        <v>287</v>
      </c>
      <c r="C104" s="49" t="s">
        <v>288</v>
      </c>
      <c r="D104" s="82"/>
      <c r="E104" s="82" t="s">
        <v>307</v>
      </c>
      <c r="F104" s="74">
        <v>0.29299999999999998</v>
      </c>
      <c r="G104" s="113">
        <v>6</v>
      </c>
      <c r="H104" s="92"/>
      <c r="I104" s="92">
        <v>2</v>
      </c>
      <c r="J104" s="92">
        <v>1</v>
      </c>
      <c r="K104" s="92"/>
      <c r="L104" s="248"/>
      <c r="M104" s="92"/>
      <c r="N104" s="162"/>
      <c r="O104" s="92"/>
      <c r="P104" s="92"/>
      <c r="Q104" s="162"/>
      <c r="R104" s="92"/>
      <c r="S104" s="162"/>
      <c r="T104" s="163"/>
      <c r="U104" s="92"/>
      <c r="V104" s="92"/>
      <c r="W104" s="92"/>
      <c r="X104" s="92"/>
      <c r="Y104" s="72">
        <f t="shared" si="9"/>
        <v>3</v>
      </c>
      <c r="Z104" s="177">
        <f t="shared" si="10"/>
        <v>5.274</v>
      </c>
    </row>
    <row r="105" spans="1:27" s="78" customFormat="1" ht="40.5" customHeight="1">
      <c r="A105" s="39">
        <v>7</v>
      </c>
      <c r="B105" s="86" t="s">
        <v>289</v>
      </c>
      <c r="C105" s="49" t="s">
        <v>290</v>
      </c>
      <c r="D105" s="82"/>
      <c r="E105" s="82" t="s">
        <v>307</v>
      </c>
      <c r="F105" s="74">
        <v>0.33900000000000002</v>
      </c>
      <c r="G105" s="113">
        <v>6</v>
      </c>
      <c r="H105" s="92"/>
      <c r="I105" s="92"/>
      <c r="J105" s="92">
        <v>1</v>
      </c>
      <c r="K105" s="92"/>
      <c r="L105" s="248"/>
      <c r="M105" s="92"/>
      <c r="N105" s="162"/>
      <c r="O105" s="92"/>
      <c r="P105" s="92"/>
      <c r="Q105" s="162"/>
      <c r="R105" s="92"/>
      <c r="S105" s="162"/>
      <c r="T105" s="163"/>
      <c r="U105" s="92"/>
      <c r="V105" s="92"/>
      <c r="W105" s="92"/>
      <c r="X105" s="92"/>
      <c r="Y105" s="72">
        <f t="shared" si="9"/>
        <v>1</v>
      </c>
      <c r="Z105" s="177">
        <f t="shared" si="10"/>
        <v>2.0340000000000003</v>
      </c>
    </row>
    <row r="106" spans="1:27" s="78" customFormat="1" ht="40.5" customHeight="1">
      <c r="A106" s="52">
        <v>8</v>
      </c>
      <c r="B106" s="86" t="s">
        <v>291</v>
      </c>
      <c r="C106" s="49" t="s">
        <v>415</v>
      </c>
      <c r="D106" s="82"/>
      <c r="E106" s="82" t="s">
        <v>307</v>
      </c>
      <c r="F106" s="74">
        <v>0.221</v>
      </c>
      <c r="G106" s="113">
        <v>6</v>
      </c>
      <c r="H106" s="92"/>
      <c r="I106" s="92">
        <v>2</v>
      </c>
      <c r="J106" s="92">
        <v>1</v>
      </c>
      <c r="K106" s="92"/>
      <c r="L106" s="248"/>
      <c r="M106" s="92"/>
      <c r="N106" s="162"/>
      <c r="O106" s="92"/>
      <c r="P106" s="92"/>
      <c r="Q106" s="162"/>
      <c r="R106" s="92"/>
      <c r="S106" s="162"/>
      <c r="T106" s="163"/>
      <c r="U106" s="92"/>
      <c r="V106" s="92"/>
      <c r="W106" s="92"/>
      <c r="X106" s="92"/>
      <c r="Y106" s="72">
        <f t="shared" si="9"/>
        <v>3</v>
      </c>
      <c r="Z106" s="177">
        <f t="shared" si="10"/>
        <v>3.9780000000000002</v>
      </c>
    </row>
    <row r="107" spans="1:27" s="78" customFormat="1" ht="40.5" customHeight="1">
      <c r="A107" s="52">
        <v>9</v>
      </c>
      <c r="B107" s="86" t="s">
        <v>25</v>
      </c>
      <c r="C107" s="49" t="s">
        <v>416</v>
      </c>
      <c r="D107" s="82"/>
      <c r="E107" s="82" t="s">
        <v>307</v>
      </c>
      <c r="F107" s="74">
        <v>1.2190000000000001</v>
      </c>
      <c r="G107" s="113">
        <v>6</v>
      </c>
      <c r="H107" s="92"/>
      <c r="I107" s="92"/>
      <c r="J107" s="92"/>
      <c r="K107" s="92"/>
      <c r="L107" s="248"/>
      <c r="M107" s="92"/>
      <c r="N107" s="162"/>
      <c r="O107" s="92"/>
      <c r="P107" s="92"/>
      <c r="Q107" s="162"/>
      <c r="R107" s="92"/>
      <c r="S107" s="162"/>
      <c r="T107" s="163"/>
      <c r="U107" s="92"/>
      <c r="V107" s="92"/>
      <c r="W107" s="92"/>
      <c r="X107" s="92"/>
      <c r="Y107" s="72">
        <f t="shared" si="9"/>
        <v>0</v>
      </c>
      <c r="Z107" s="177">
        <f t="shared" si="10"/>
        <v>0</v>
      </c>
    </row>
    <row r="108" spans="1:27" s="78" customFormat="1" ht="40.5" customHeight="1">
      <c r="A108" s="39">
        <v>10</v>
      </c>
      <c r="B108" s="86" t="s">
        <v>418</v>
      </c>
      <c r="C108" s="49" t="s">
        <v>417</v>
      </c>
      <c r="D108" s="82"/>
      <c r="E108" s="82" t="s">
        <v>307</v>
      </c>
      <c r="F108" s="74">
        <v>0.22</v>
      </c>
      <c r="G108" s="113">
        <v>6</v>
      </c>
      <c r="H108" s="92"/>
      <c r="I108" s="92"/>
      <c r="J108" s="92"/>
      <c r="K108" s="92"/>
      <c r="L108" s="248"/>
      <c r="M108" s="92"/>
      <c r="N108" s="162"/>
      <c r="O108" s="92"/>
      <c r="P108" s="92"/>
      <c r="Q108" s="162"/>
      <c r="R108" s="92"/>
      <c r="S108" s="162"/>
      <c r="T108" s="163"/>
      <c r="U108" s="92"/>
      <c r="V108" s="92"/>
      <c r="W108" s="92"/>
      <c r="X108" s="92"/>
      <c r="Y108" s="72">
        <f t="shared" si="9"/>
        <v>0</v>
      </c>
      <c r="Z108" s="177">
        <f t="shared" si="10"/>
        <v>0</v>
      </c>
    </row>
    <row r="109" spans="1:27" s="87" customFormat="1" ht="40.5" customHeight="1">
      <c r="A109" s="52">
        <v>11</v>
      </c>
      <c r="B109" s="86" t="s">
        <v>395</v>
      </c>
      <c r="C109" s="7" t="s">
        <v>470</v>
      </c>
      <c r="D109" s="82"/>
      <c r="E109" s="82" t="s">
        <v>307</v>
      </c>
      <c r="F109" s="74">
        <v>0.18099999999999999</v>
      </c>
      <c r="G109" s="113">
        <v>6</v>
      </c>
      <c r="H109" s="164"/>
      <c r="I109" s="164"/>
      <c r="J109" s="164"/>
      <c r="K109" s="164"/>
      <c r="L109" s="249"/>
      <c r="M109" s="164"/>
      <c r="N109" s="142"/>
      <c r="O109" s="164"/>
      <c r="P109" s="164"/>
      <c r="Q109" s="142"/>
      <c r="R109" s="164"/>
      <c r="S109" s="142"/>
      <c r="T109" s="165"/>
      <c r="U109" s="164"/>
      <c r="V109" s="164"/>
      <c r="W109" s="164"/>
      <c r="X109" s="164"/>
      <c r="Y109" s="72">
        <f t="shared" si="9"/>
        <v>0</v>
      </c>
      <c r="Z109" s="177">
        <f t="shared" si="10"/>
        <v>0</v>
      </c>
    </row>
    <row r="110" spans="1:27" s="87" customFormat="1" ht="40.5" customHeight="1">
      <c r="A110" s="52">
        <v>12</v>
      </c>
      <c r="B110" s="86"/>
      <c r="C110" s="49" t="s">
        <v>394</v>
      </c>
      <c r="D110" s="82"/>
      <c r="E110" s="82" t="s">
        <v>307</v>
      </c>
      <c r="F110" s="74">
        <v>0.21</v>
      </c>
      <c r="G110" s="113">
        <v>6</v>
      </c>
      <c r="H110" s="164"/>
      <c r="I110" s="164">
        <v>2</v>
      </c>
      <c r="J110" s="164">
        <v>2</v>
      </c>
      <c r="K110" s="164"/>
      <c r="L110" s="249"/>
      <c r="M110" s="164"/>
      <c r="N110" s="142"/>
      <c r="O110" s="164"/>
      <c r="P110" s="164"/>
      <c r="Q110" s="142"/>
      <c r="R110" s="164"/>
      <c r="S110" s="142"/>
      <c r="T110" s="165"/>
      <c r="U110" s="164"/>
      <c r="V110" s="164"/>
      <c r="W110" s="164"/>
      <c r="X110" s="164"/>
      <c r="Y110" s="72">
        <f t="shared" si="9"/>
        <v>4</v>
      </c>
      <c r="Z110" s="177">
        <f t="shared" si="10"/>
        <v>5.04</v>
      </c>
    </row>
    <row r="111" spans="1:27" s="78" customFormat="1" ht="40.5" customHeight="1">
      <c r="A111" s="50" t="s">
        <v>309</v>
      </c>
      <c r="B111" s="79" t="s">
        <v>427</v>
      </c>
      <c r="C111" s="80"/>
      <c r="D111" s="80"/>
      <c r="E111" s="65" t="s">
        <v>307</v>
      </c>
      <c r="F111" s="81"/>
      <c r="G111" s="116"/>
      <c r="H111" s="67"/>
      <c r="I111" s="67"/>
      <c r="J111" s="67"/>
      <c r="K111" s="67"/>
      <c r="L111" s="246"/>
      <c r="M111" s="67"/>
      <c r="N111" s="182"/>
      <c r="O111" s="183"/>
      <c r="P111" s="67"/>
      <c r="Q111" s="67"/>
      <c r="R111" s="67"/>
      <c r="S111" s="67"/>
      <c r="T111" s="178"/>
      <c r="U111" s="67"/>
      <c r="V111" s="67"/>
      <c r="W111" s="67"/>
      <c r="X111" s="67"/>
      <c r="Y111" s="67">
        <f>SUM(Y112:Y121)</f>
        <v>4</v>
      </c>
      <c r="Z111" s="179">
        <f>SUM(Z112:Z121)</f>
        <v>25.200000000000003</v>
      </c>
      <c r="AA111" s="93"/>
    </row>
    <row r="112" spans="1:27" s="78" customFormat="1" ht="40.5" customHeight="1">
      <c r="A112" s="134">
        <v>1</v>
      </c>
      <c r="B112" s="135" t="s">
        <v>438</v>
      </c>
      <c r="C112" s="96" t="s">
        <v>439</v>
      </c>
      <c r="D112" s="136"/>
      <c r="E112" s="137" t="s">
        <v>307</v>
      </c>
      <c r="F112" s="138">
        <v>2.7120000000000002</v>
      </c>
      <c r="G112" s="139">
        <v>6</v>
      </c>
      <c r="H112" s="168"/>
      <c r="I112" s="168"/>
      <c r="J112" s="168"/>
      <c r="K112" s="168"/>
      <c r="L112" s="250"/>
      <c r="M112" s="168"/>
      <c r="N112" s="166"/>
      <c r="O112" s="167"/>
      <c r="P112" s="72"/>
      <c r="Q112" s="72"/>
      <c r="R112" s="72"/>
      <c r="S112" s="72"/>
      <c r="T112" s="132"/>
      <c r="U112" s="72"/>
      <c r="V112" s="72"/>
      <c r="W112" s="72"/>
      <c r="X112" s="72"/>
      <c r="Y112" s="72">
        <f t="shared" ref="Y112:Y121" si="11">SUM(H112:X112)</f>
        <v>0</v>
      </c>
      <c r="Z112" s="177">
        <f t="shared" ref="Z112:Z121" si="12">F112*Y112*6</f>
        <v>0</v>
      </c>
    </row>
    <row r="113" spans="1:26" s="78" customFormat="1" ht="40.5" customHeight="1">
      <c r="A113" s="39">
        <v>2</v>
      </c>
      <c r="B113" s="68" t="s">
        <v>428</v>
      </c>
      <c r="C113" s="49" t="s">
        <v>429</v>
      </c>
      <c r="D113" s="82"/>
      <c r="E113" s="82" t="s">
        <v>307</v>
      </c>
      <c r="F113" s="74">
        <v>2.8290000000000002</v>
      </c>
      <c r="G113" s="124">
        <v>6</v>
      </c>
      <c r="H113" s="169"/>
      <c r="I113" s="169"/>
      <c r="J113" s="169"/>
      <c r="K113" s="169"/>
      <c r="L113" s="251"/>
      <c r="M113" s="170"/>
      <c r="N113" s="166"/>
      <c r="O113" s="167"/>
      <c r="P113" s="167"/>
      <c r="Q113" s="166"/>
      <c r="R113" s="167"/>
      <c r="S113" s="166"/>
      <c r="T113" s="171"/>
      <c r="U113" s="167"/>
      <c r="V113" s="167"/>
      <c r="W113" s="167"/>
      <c r="X113" s="167"/>
      <c r="Y113" s="72">
        <f t="shared" si="11"/>
        <v>0</v>
      </c>
      <c r="Z113" s="177">
        <f t="shared" si="12"/>
        <v>0</v>
      </c>
    </row>
    <row r="114" spans="1:26" s="78" customFormat="1" ht="40.5" customHeight="1">
      <c r="A114" s="134">
        <v>3</v>
      </c>
      <c r="B114" s="53" t="s">
        <v>413</v>
      </c>
      <c r="C114" s="45" t="s">
        <v>430</v>
      </c>
      <c r="D114" s="83"/>
      <c r="E114" s="83" t="s">
        <v>307</v>
      </c>
      <c r="F114" s="74">
        <v>0.435</v>
      </c>
      <c r="G114" s="113">
        <v>6</v>
      </c>
      <c r="H114" s="169"/>
      <c r="I114" s="169"/>
      <c r="J114" s="169"/>
      <c r="K114" s="169"/>
      <c r="L114" s="251"/>
      <c r="M114" s="170"/>
      <c r="N114" s="166"/>
      <c r="O114" s="167"/>
      <c r="P114" s="167"/>
      <c r="Q114" s="166"/>
      <c r="R114" s="167"/>
      <c r="S114" s="166"/>
      <c r="T114" s="171"/>
      <c r="U114" s="167"/>
      <c r="V114" s="167"/>
      <c r="W114" s="167"/>
      <c r="X114" s="167"/>
      <c r="Y114" s="72">
        <f t="shared" si="11"/>
        <v>0</v>
      </c>
      <c r="Z114" s="177">
        <f t="shared" si="12"/>
        <v>0</v>
      </c>
    </row>
    <row r="115" spans="1:26" s="78" customFormat="1" ht="40.5" customHeight="1">
      <c r="A115" s="39">
        <v>4</v>
      </c>
      <c r="B115" s="53" t="s">
        <v>431</v>
      </c>
      <c r="C115" s="45" t="s">
        <v>432</v>
      </c>
      <c r="D115" s="83"/>
      <c r="E115" s="83" t="s">
        <v>307</v>
      </c>
      <c r="F115" s="74">
        <v>0.52800000000000002</v>
      </c>
      <c r="G115" s="113">
        <v>6</v>
      </c>
      <c r="H115" s="169"/>
      <c r="I115" s="169"/>
      <c r="J115" s="169"/>
      <c r="K115" s="169"/>
      <c r="L115" s="251"/>
      <c r="M115" s="170"/>
      <c r="N115" s="166"/>
      <c r="O115" s="167"/>
      <c r="P115" s="167"/>
      <c r="Q115" s="166"/>
      <c r="R115" s="167"/>
      <c r="S115" s="166"/>
      <c r="T115" s="171"/>
      <c r="U115" s="167"/>
      <c r="V115" s="167"/>
      <c r="W115" s="167"/>
      <c r="X115" s="167"/>
      <c r="Y115" s="72">
        <f t="shared" si="11"/>
        <v>0</v>
      </c>
      <c r="Z115" s="177">
        <f t="shared" si="12"/>
        <v>0</v>
      </c>
    </row>
    <row r="116" spans="1:26" s="78" customFormat="1" ht="40.5" customHeight="1">
      <c r="A116" s="134">
        <v>5</v>
      </c>
      <c r="B116" s="47" t="s">
        <v>452</v>
      </c>
      <c r="C116" s="43" t="s">
        <v>447</v>
      </c>
      <c r="D116" s="43"/>
      <c r="E116" s="43" t="s">
        <v>307</v>
      </c>
      <c r="F116" s="146">
        <v>0.28699999999999998</v>
      </c>
      <c r="G116" s="113">
        <v>6</v>
      </c>
      <c r="H116" s="169"/>
      <c r="I116" s="169"/>
      <c r="J116" s="169"/>
      <c r="K116" s="169"/>
      <c r="L116" s="251"/>
      <c r="M116" s="170"/>
      <c r="N116" s="166"/>
      <c r="O116" s="167"/>
      <c r="P116" s="167"/>
      <c r="Q116" s="166"/>
      <c r="R116" s="167"/>
      <c r="S116" s="166"/>
      <c r="T116" s="171"/>
      <c r="U116" s="167"/>
      <c r="V116" s="167"/>
      <c r="W116" s="167"/>
      <c r="X116" s="167"/>
      <c r="Y116" s="72">
        <f t="shared" si="11"/>
        <v>0</v>
      </c>
      <c r="Z116" s="177">
        <f t="shared" si="12"/>
        <v>0</v>
      </c>
    </row>
    <row r="117" spans="1:26" s="78" customFormat="1" ht="40.5" customHeight="1">
      <c r="A117" s="39">
        <v>6</v>
      </c>
      <c r="B117" s="47" t="s">
        <v>453</v>
      </c>
      <c r="C117" s="43" t="s">
        <v>454</v>
      </c>
      <c r="D117" s="43"/>
      <c r="E117" s="43" t="s">
        <v>307</v>
      </c>
      <c r="F117" s="146">
        <v>0.17799999999999999</v>
      </c>
      <c r="G117" s="113">
        <v>6</v>
      </c>
      <c r="H117" s="169"/>
      <c r="I117" s="169"/>
      <c r="J117" s="169"/>
      <c r="K117" s="169"/>
      <c r="L117" s="251"/>
      <c r="M117" s="170"/>
      <c r="N117" s="166"/>
      <c r="O117" s="167"/>
      <c r="P117" s="167"/>
      <c r="Q117" s="166"/>
      <c r="R117" s="167"/>
      <c r="S117" s="166"/>
      <c r="T117" s="171"/>
      <c r="U117" s="167"/>
      <c r="V117" s="167"/>
      <c r="W117" s="167"/>
      <c r="X117" s="167"/>
      <c r="Y117" s="72">
        <f t="shared" si="11"/>
        <v>0</v>
      </c>
      <c r="Z117" s="177">
        <f t="shared" si="12"/>
        <v>0</v>
      </c>
    </row>
    <row r="118" spans="1:26" s="78" customFormat="1" ht="40.5" customHeight="1">
      <c r="A118" s="134">
        <v>7</v>
      </c>
      <c r="B118" s="6" t="s">
        <v>449</v>
      </c>
      <c r="C118" s="43" t="s">
        <v>451</v>
      </c>
      <c r="D118" s="82"/>
      <c r="E118" s="82" t="s">
        <v>307</v>
      </c>
      <c r="F118" s="74">
        <v>0.311</v>
      </c>
      <c r="G118" s="113">
        <v>6</v>
      </c>
      <c r="H118" s="169"/>
      <c r="I118" s="169"/>
      <c r="J118" s="169"/>
      <c r="K118" s="169"/>
      <c r="L118" s="251"/>
      <c r="M118" s="170"/>
      <c r="N118" s="166"/>
      <c r="O118" s="167"/>
      <c r="P118" s="167"/>
      <c r="Q118" s="166"/>
      <c r="R118" s="167"/>
      <c r="S118" s="166"/>
      <c r="T118" s="171"/>
      <c r="U118" s="167"/>
      <c r="V118" s="167"/>
      <c r="W118" s="167"/>
      <c r="X118" s="167"/>
      <c r="Y118" s="72">
        <f t="shared" si="11"/>
        <v>0</v>
      </c>
      <c r="Z118" s="177">
        <f t="shared" si="12"/>
        <v>0</v>
      </c>
    </row>
    <row r="119" spans="1:26" s="78" customFormat="1" ht="40.5" customHeight="1">
      <c r="A119" s="149">
        <v>8</v>
      </c>
      <c r="B119" s="6" t="s">
        <v>450</v>
      </c>
      <c r="C119" s="43" t="s">
        <v>448</v>
      </c>
      <c r="D119" s="49"/>
      <c r="E119" s="49" t="s">
        <v>307</v>
      </c>
      <c r="F119" s="74">
        <v>0.254</v>
      </c>
      <c r="G119" s="113">
        <v>6</v>
      </c>
      <c r="H119" s="169"/>
      <c r="I119" s="169"/>
      <c r="J119" s="169"/>
      <c r="K119" s="169"/>
      <c r="L119" s="251"/>
      <c r="M119" s="170"/>
      <c r="N119" s="166"/>
      <c r="O119" s="167"/>
      <c r="P119" s="167"/>
      <c r="Q119" s="166"/>
      <c r="R119" s="167"/>
      <c r="S119" s="166"/>
      <c r="T119" s="171"/>
      <c r="U119" s="167"/>
      <c r="V119" s="167"/>
      <c r="W119" s="167"/>
      <c r="X119" s="167"/>
      <c r="Y119" s="72">
        <f t="shared" si="11"/>
        <v>0</v>
      </c>
      <c r="Z119" s="177">
        <f t="shared" si="12"/>
        <v>0</v>
      </c>
    </row>
    <row r="120" spans="1:26" ht="33" customHeight="1">
      <c r="A120" s="49">
        <v>9</v>
      </c>
      <c r="B120" s="218" t="s">
        <v>485</v>
      </c>
      <c r="C120" s="227" t="s">
        <v>484</v>
      </c>
      <c r="D120" s="206"/>
      <c r="E120" s="206" t="s">
        <v>307</v>
      </c>
      <c r="F120" s="219">
        <v>1.05</v>
      </c>
      <c r="G120" s="258">
        <v>6</v>
      </c>
      <c r="H120" s="49"/>
      <c r="I120" s="49"/>
      <c r="J120" s="49"/>
      <c r="K120" s="49">
        <v>4</v>
      </c>
      <c r="L120" s="49"/>
      <c r="M120" s="49"/>
      <c r="N120" s="49"/>
      <c r="O120" s="49"/>
      <c r="P120" s="49"/>
      <c r="Q120" s="44"/>
      <c r="R120" s="49"/>
      <c r="S120" s="49"/>
      <c r="T120" s="49"/>
      <c r="U120" s="49"/>
      <c r="V120" s="49"/>
      <c r="W120" s="49"/>
      <c r="X120" s="49"/>
      <c r="Y120" s="72">
        <f t="shared" si="11"/>
        <v>4</v>
      </c>
      <c r="Z120" s="177">
        <f t="shared" si="12"/>
        <v>25.200000000000003</v>
      </c>
    </row>
    <row r="121" spans="1:26" s="78" customFormat="1" ht="40.5" customHeight="1">
      <c r="A121" s="39">
        <v>10</v>
      </c>
      <c r="B121" s="6" t="s">
        <v>462</v>
      </c>
      <c r="C121" s="43" t="s">
        <v>471</v>
      </c>
      <c r="D121" s="82"/>
      <c r="E121" s="82" t="s">
        <v>307</v>
      </c>
      <c r="F121" s="74"/>
      <c r="G121" s="113"/>
      <c r="H121" s="169"/>
      <c r="I121" s="169"/>
      <c r="J121" s="169"/>
      <c r="K121" s="169"/>
      <c r="L121" s="251"/>
      <c r="M121" s="170"/>
      <c r="N121" s="166"/>
      <c r="O121" s="167"/>
      <c r="P121" s="167"/>
      <c r="Q121" s="166"/>
      <c r="R121" s="167"/>
      <c r="S121" s="166"/>
      <c r="T121" s="171"/>
      <c r="U121" s="167"/>
      <c r="V121" s="167"/>
      <c r="W121" s="167"/>
      <c r="X121" s="167"/>
      <c r="Y121" s="72">
        <f t="shared" si="11"/>
        <v>0</v>
      </c>
      <c r="Z121" s="177">
        <f t="shared" si="12"/>
        <v>0</v>
      </c>
    </row>
    <row r="122" spans="1:26" s="78" customFormat="1" ht="40.5" customHeight="1">
      <c r="A122" s="50" t="s">
        <v>309</v>
      </c>
      <c r="B122" s="79" t="s">
        <v>419</v>
      </c>
      <c r="C122" s="80"/>
      <c r="D122" s="80"/>
      <c r="E122" s="65" t="s">
        <v>307</v>
      </c>
      <c r="F122" s="81"/>
      <c r="G122" s="116"/>
      <c r="H122" s="67"/>
      <c r="I122" s="67"/>
      <c r="J122" s="67"/>
      <c r="K122" s="67"/>
      <c r="L122" s="246"/>
      <c r="M122" s="67"/>
      <c r="N122" s="67"/>
      <c r="O122" s="67"/>
      <c r="P122" s="67"/>
      <c r="Q122" s="67"/>
      <c r="R122" s="67"/>
      <c r="S122" s="67"/>
      <c r="T122" s="178"/>
      <c r="U122" s="67"/>
      <c r="V122" s="67"/>
      <c r="W122" s="67"/>
      <c r="X122" s="67"/>
      <c r="Y122" s="67">
        <f>SUM(Y123:Y127)</f>
        <v>0</v>
      </c>
      <c r="Z122" s="179">
        <f>SUM(Z123:Z127)</f>
        <v>0</v>
      </c>
    </row>
    <row r="123" spans="1:26" s="78" customFormat="1" ht="40.5" customHeight="1">
      <c r="A123" s="39">
        <v>1</v>
      </c>
      <c r="B123" s="68" t="s">
        <v>420</v>
      </c>
      <c r="C123" s="49" t="s">
        <v>440</v>
      </c>
      <c r="D123" s="82"/>
      <c r="E123" s="82" t="s">
        <v>307</v>
      </c>
      <c r="F123" s="74">
        <v>2.0699999999999998</v>
      </c>
      <c r="G123" s="113">
        <v>6</v>
      </c>
      <c r="H123" s="92"/>
      <c r="I123" s="92"/>
      <c r="J123" s="92"/>
      <c r="K123" s="92"/>
      <c r="L123" s="248"/>
      <c r="M123" s="92"/>
      <c r="N123" s="162"/>
      <c r="O123" s="92"/>
      <c r="P123" s="92"/>
      <c r="Q123" s="142"/>
      <c r="R123" s="92"/>
      <c r="S123" s="162"/>
      <c r="T123" s="163"/>
      <c r="U123" s="92"/>
      <c r="V123" s="92"/>
      <c r="W123" s="92"/>
      <c r="X123" s="92"/>
      <c r="Y123" s="72">
        <f>SUM(H123:X123)</f>
        <v>0</v>
      </c>
      <c r="Z123" s="177">
        <f>F123*Y123*6</f>
        <v>0</v>
      </c>
    </row>
    <row r="124" spans="1:26" s="78" customFormat="1" ht="40.5" customHeight="1">
      <c r="A124" s="52">
        <v>2</v>
      </c>
      <c r="B124" s="53" t="s">
        <v>422</v>
      </c>
      <c r="C124" s="45" t="s">
        <v>446</v>
      </c>
      <c r="D124" s="83"/>
      <c r="E124" s="83" t="s">
        <v>307</v>
      </c>
      <c r="F124" s="74">
        <v>1.4</v>
      </c>
      <c r="G124" s="113">
        <v>6</v>
      </c>
      <c r="H124" s="92"/>
      <c r="I124" s="92"/>
      <c r="J124" s="92"/>
      <c r="K124" s="92"/>
      <c r="L124" s="248"/>
      <c r="M124" s="92"/>
      <c r="N124" s="162"/>
      <c r="O124" s="92"/>
      <c r="P124" s="92"/>
      <c r="Q124" s="162"/>
      <c r="R124" s="92"/>
      <c r="S124" s="162"/>
      <c r="T124" s="163"/>
      <c r="U124" s="92"/>
      <c r="V124" s="92"/>
      <c r="W124" s="92"/>
      <c r="X124" s="92"/>
      <c r="Y124" s="72">
        <f>SUM(H124:X124)</f>
        <v>0</v>
      </c>
      <c r="Z124" s="177">
        <f>F124*Y124*6</f>
        <v>0</v>
      </c>
    </row>
    <row r="125" spans="1:26" s="78" customFormat="1" ht="40.5" customHeight="1">
      <c r="A125" s="39">
        <v>3</v>
      </c>
      <c r="B125" s="53" t="s">
        <v>421</v>
      </c>
      <c r="C125" s="45" t="s">
        <v>423</v>
      </c>
      <c r="D125" s="83"/>
      <c r="E125" s="83" t="s">
        <v>307</v>
      </c>
      <c r="F125" s="74">
        <v>0.40100000000000002</v>
      </c>
      <c r="G125" s="113">
        <v>6</v>
      </c>
      <c r="H125" s="92"/>
      <c r="I125" s="92"/>
      <c r="J125" s="92"/>
      <c r="K125" s="92"/>
      <c r="L125" s="248"/>
      <c r="M125" s="92"/>
      <c r="N125" s="162"/>
      <c r="O125" s="92"/>
      <c r="P125" s="92"/>
      <c r="Q125" s="162"/>
      <c r="R125" s="92"/>
      <c r="S125" s="162"/>
      <c r="T125" s="163"/>
      <c r="U125" s="92"/>
      <c r="V125" s="92"/>
      <c r="W125" s="92"/>
      <c r="X125" s="92"/>
      <c r="Y125" s="72">
        <f>SUM(H125:X125)</f>
        <v>0</v>
      </c>
      <c r="Z125" s="177">
        <f>F125*Y125*6</f>
        <v>0</v>
      </c>
    </row>
    <row r="126" spans="1:26" s="78" customFormat="1" ht="40.5" customHeight="1">
      <c r="A126" s="52">
        <v>4</v>
      </c>
      <c r="B126" s="103" t="s">
        <v>436</v>
      </c>
      <c r="C126" s="104" t="s">
        <v>437</v>
      </c>
      <c r="D126" s="83"/>
      <c r="E126" s="105" t="s">
        <v>307</v>
      </c>
      <c r="F126" s="106">
        <v>0.41</v>
      </c>
      <c r="G126" s="113">
        <v>6</v>
      </c>
      <c r="H126" s="92"/>
      <c r="I126" s="92"/>
      <c r="J126" s="92"/>
      <c r="K126" s="92"/>
      <c r="L126" s="248"/>
      <c r="M126" s="92"/>
      <c r="N126" s="162"/>
      <c r="O126" s="92"/>
      <c r="P126" s="92"/>
      <c r="Q126" s="162"/>
      <c r="R126" s="92"/>
      <c r="S126" s="162"/>
      <c r="T126" s="163"/>
      <c r="U126" s="92"/>
      <c r="V126" s="92"/>
      <c r="W126" s="92"/>
      <c r="X126" s="92"/>
      <c r="Y126" s="72">
        <f>SUM(H126:X126)</f>
        <v>0</v>
      </c>
      <c r="Z126" s="177">
        <f>F126*Y126*6</f>
        <v>0</v>
      </c>
    </row>
    <row r="127" spans="1:26" s="78" customFormat="1" ht="40.5" customHeight="1">
      <c r="A127" s="39">
        <v>5</v>
      </c>
      <c r="B127" s="41" t="s">
        <v>434</v>
      </c>
      <c r="C127" s="7" t="s">
        <v>435</v>
      </c>
      <c r="D127" s="82"/>
      <c r="E127" s="40" t="s">
        <v>307</v>
      </c>
      <c r="F127" s="101">
        <v>0.751</v>
      </c>
      <c r="G127" s="113"/>
      <c r="H127" s="92"/>
      <c r="I127" s="92"/>
      <c r="J127" s="92"/>
      <c r="K127" s="92"/>
      <c r="L127" s="248"/>
      <c r="M127" s="92"/>
      <c r="N127" s="162"/>
      <c r="O127" s="92"/>
      <c r="P127" s="92"/>
      <c r="Q127" s="162"/>
      <c r="R127" s="92"/>
      <c r="S127" s="162"/>
      <c r="T127" s="163"/>
      <c r="U127" s="92"/>
      <c r="V127" s="92"/>
      <c r="W127" s="92"/>
      <c r="X127" s="92"/>
      <c r="Y127" s="72">
        <f>SUM(H127:X127)</f>
        <v>0</v>
      </c>
      <c r="Z127" s="177">
        <f>F127*Y127*6</f>
        <v>0</v>
      </c>
    </row>
    <row r="128" spans="1:26" s="90" customFormat="1" ht="45.75" customHeight="1">
      <c r="A128" s="184"/>
      <c r="B128" s="185" t="s">
        <v>425</v>
      </c>
      <c r="C128" s="186"/>
      <c r="D128" s="187"/>
      <c r="E128" s="188"/>
      <c r="F128" s="184"/>
      <c r="G128" s="189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1"/>
      <c r="U128" s="190"/>
      <c r="V128" s="190"/>
      <c r="W128" s="190"/>
      <c r="X128" s="190"/>
      <c r="Y128" s="192">
        <f>Y122+Y111+Y96+Y71+Y62+Y49+Y46+Y42+Y38+Y5</f>
        <v>230</v>
      </c>
      <c r="Z128" s="193">
        <f>Z122+Z111+Z96+Z71+Z62+Z49+Z46+Z42+Z38+Z5</f>
        <v>1423.6379999999999</v>
      </c>
    </row>
    <row r="129" spans="2:26" ht="27.75" customHeight="1">
      <c r="B129" s="30"/>
      <c r="C129" s="31"/>
      <c r="D129" s="54"/>
      <c r="E129" s="54"/>
      <c r="F129" s="54"/>
      <c r="G129" s="118"/>
    </row>
    <row r="130" spans="2:26" ht="23.25" customHeight="1">
      <c r="B130" s="18"/>
      <c r="C130" s="18"/>
      <c r="D130" s="18"/>
      <c r="E130" s="18"/>
      <c r="F130" s="18"/>
      <c r="G130" s="119"/>
      <c r="Z130" s="97"/>
    </row>
    <row r="131" spans="2:26" ht="33.75" customHeight="1">
      <c r="B131" s="32"/>
      <c r="C131" s="33"/>
      <c r="D131" s="33"/>
      <c r="E131" s="33"/>
      <c r="F131" s="33"/>
      <c r="G131" s="120"/>
    </row>
    <row r="132" spans="2:26" ht="22.5" customHeight="1">
      <c r="B132" s="34"/>
      <c r="C132" s="33"/>
      <c r="D132" s="33"/>
      <c r="E132" s="33"/>
      <c r="F132" s="33"/>
      <c r="G132" s="120"/>
    </row>
    <row r="133" spans="2:26" ht="36.75" customHeight="1">
      <c r="B133" s="57"/>
    </row>
    <row r="134" spans="2:26" ht="36.75" customHeight="1">
      <c r="B134" s="57"/>
    </row>
    <row r="135" spans="2:26" ht="36.75" customHeight="1">
      <c r="B135" s="73"/>
      <c r="C135" s="73"/>
      <c r="D135" s="73"/>
      <c r="E135" s="73"/>
      <c r="F135" s="73"/>
      <c r="G135" s="122"/>
    </row>
    <row r="136" spans="2:26" ht="36.75" customHeight="1">
      <c r="B136" s="73"/>
      <c r="C136" s="73"/>
      <c r="D136" s="73"/>
      <c r="E136" s="73"/>
      <c r="F136" s="73"/>
      <c r="G136" s="122"/>
    </row>
    <row r="137" spans="2:26" ht="36.75" customHeight="1">
      <c r="B137" s="73"/>
      <c r="C137" s="73"/>
      <c r="D137" s="73"/>
      <c r="E137" s="73"/>
      <c r="F137" s="73"/>
      <c r="G137" s="122"/>
    </row>
    <row r="138" spans="2:26" ht="36.75" customHeight="1">
      <c r="B138" s="73"/>
      <c r="C138" s="73"/>
      <c r="D138" s="73"/>
      <c r="E138" s="73"/>
      <c r="F138" s="73"/>
      <c r="G138" s="122"/>
    </row>
    <row r="139" spans="2:26" ht="36.75" customHeight="1">
      <c r="B139" s="73"/>
      <c r="C139" s="73"/>
      <c r="D139" s="73"/>
      <c r="E139" s="73"/>
      <c r="F139" s="73"/>
      <c r="G139" s="122"/>
    </row>
    <row r="140" spans="2:26" ht="36.75" customHeight="1">
      <c r="B140" s="73"/>
      <c r="C140" s="73"/>
      <c r="D140" s="73"/>
      <c r="E140" s="73"/>
      <c r="F140" s="73"/>
      <c r="G140" s="122"/>
    </row>
    <row r="141" spans="2:26" ht="36.75" customHeight="1">
      <c r="B141" s="73"/>
      <c r="C141" s="73"/>
      <c r="D141" s="73"/>
      <c r="E141" s="73"/>
      <c r="F141" s="73"/>
      <c r="G141" s="122"/>
    </row>
    <row r="142" spans="2:26" ht="36.75" customHeight="1">
      <c r="B142" s="73"/>
      <c r="C142" s="73"/>
      <c r="D142" s="73"/>
      <c r="E142" s="73"/>
      <c r="F142" s="73"/>
      <c r="G142" s="122"/>
    </row>
    <row r="143" spans="2:26" ht="36.75" customHeight="1">
      <c r="B143" s="73"/>
      <c r="C143" s="73"/>
      <c r="D143" s="73"/>
      <c r="E143" s="73"/>
      <c r="F143" s="73"/>
      <c r="G143" s="122"/>
    </row>
    <row r="144" spans="2:26" ht="36.75" customHeight="1">
      <c r="B144" s="73"/>
      <c r="C144" s="73"/>
      <c r="D144" s="73"/>
      <c r="E144" s="73"/>
      <c r="F144" s="73"/>
      <c r="G144" s="122"/>
    </row>
    <row r="145" spans="2:7" ht="36.75" customHeight="1">
      <c r="B145" s="73"/>
      <c r="C145" s="73"/>
      <c r="D145" s="73"/>
      <c r="E145" s="73"/>
      <c r="F145" s="73"/>
      <c r="G145" s="122"/>
    </row>
    <row r="146" spans="2:7" ht="36.75" customHeight="1">
      <c r="B146" s="73"/>
      <c r="C146" s="73"/>
      <c r="D146" s="73"/>
      <c r="E146" s="73"/>
      <c r="F146" s="73"/>
      <c r="G146" s="122"/>
    </row>
    <row r="147" spans="2:7" ht="36.75" customHeight="1">
      <c r="B147" s="73"/>
      <c r="C147" s="73"/>
      <c r="D147" s="73"/>
      <c r="E147" s="73"/>
      <c r="F147" s="73"/>
      <c r="G147" s="122"/>
    </row>
    <row r="148" spans="2:7" ht="36.75" customHeight="1">
      <c r="B148" s="73"/>
      <c r="C148" s="73"/>
      <c r="D148" s="73"/>
      <c r="E148" s="73"/>
      <c r="F148" s="73"/>
      <c r="G148" s="122"/>
    </row>
    <row r="149" spans="2:7" ht="36.75" customHeight="1">
      <c r="B149" s="73"/>
      <c r="C149" s="73"/>
      <c r="D149" s="73"/>
      <c r="E149" s="73"/>
      <c r="F149" s="73"/>
      <c r="G149" s="122"/>
    </row>
    <row r="150" spans="2:7" ht="36.75" customHeight="1">
      <c r="B150" s="73"/>
      <c r="C150" s="73"/>
      <c r="D150" s="73"/>
      <c r="E150" s="73"/>
      <c r="F150" s="73"/>
      <c r="G150" s="122"/>
    </row>
    <row r="151" spans="2:7" ht="36.75" customHeight="1">
      <c r="B151" s="73"/>
      <c r="C151" s="73"/>
      <c r="D151" s="73"/>
      <c r="E151" s="73"/>
      <c r="F151" s="73"/>
      <c r="G151" s="122"/>
    </row>
    <row r="152" spans="2:7" ht="36.75" customHeight="1">
      <c r="B152" s="73"/>
      <c r="C152" s="73"/>
      <c r="D152" s="73"/>
      <c r="E152" s="73"/>
      <c r="F152" s="73"/>
      <c r="G152" s="122"/>
    </row>
    <row r="153" spans="2:7" ht="36.75" customHeight="1">
      <c r="B153" s="73"/>
      <c r="C153" s="73"/>
      <c r="D153" s="73"/>
      <c r="E153" s="73"/>
      <c r="F153" s="73"/>
      <c r="G153" s="122"/>
    </row>
    <row r="154" spans="2:7" ht="36.75" customHeight="1">
      <c r="B154" s="73"/>
      <c r="C154" s="73"/>
      <c r="D154" s="73"/>
      <c r="E154" s="73"/>
      <c r="F154" s="73"/>
      <c r="G154" s="122"/>
    </row>
    <row r="155" spans="2:7" ht="36.75" customHeight="1">
      <c r="B155" s="73"/>
      <c r="C155" s="73"/>
      <c r="D155" s="73"/>
      <c r="E155" s="73"/>
      <c r="F155" s="73"/>
      <c r="G155" s="122"/>
    </row>
    <row r="156" spans="2:7" ht="36.75" customHeight="1">
      <c r="B156" s="73"/>
      <c r="C156" s="73"/>
      <c r="D156" s="73"/>
      <c r="E156" s="73"/>
      <c r="F156" s="73"/>
      <c r="G156" s="122"/>
    </row>
    <row r="157" spans="2:7" ht="36.75" customHeight="1">
      <c r="B157" s="73"/>
      <c r="C157" s="73"/>
      <c r="D157" s="73"/>
      <c r="E157" s="73"/>
      <c r="F157" s="73"/>
      <c r="G157" s="122"/>
    </row>
    <row r="158" spans="2:7" ht="36.75" customHeight="1">
      <c r="B158" s="73"/>
      <c r="C158" s="73"/>
      <c r="D158" s="73"/>
      <c r="E158" s="73"/>
      <c r="F158" s="73"/>
      <c r="G158" s="122"/>
    </row>
    <row r="159" spans="2:7" ht="36.75" customHeight="1">
      <c r="B159" s="73"/>
      <c r="C159" s="73"/>
      <c r="D159" s="73"/>
      <c r="E159" s="73"/>
      <c r="F159" s="73"/>
      <c r="G159" s="122"/>
    </row>
    <row r="160" spans="2:7" ht="36.75" customHeight="1">
      <c r="B160" s="73"/>
      <c r="C160" s="73"/>
      <c r="D160" s="73"/>
      <c r="E160" s="73"/>
      <c r="F160" s="73"/>
      <c r="G160" s="122"/>
    </row>
    <row r="161" spans="2:7" ht="36.75" customHeight="1">
      <c r="B161" s="73"/>
      <c r="C161" s="73"/>
      <c r="D161" s="73"/>
      <c r="E161" s="73"/>
      <c r="F161" s="73"/>
      <c r="G161" s="122"/>
    </row>
    <row r="162" spans="2:7" ht="36.75" customHeight="1">
      <c r="B162" s="73"/>
      <c r="C162" s="73"/>
      <c r="D162" s="73"/>
      <c r="E162" s="73"/>
      <c r="F162" s="73"/>
      <c r="G162" s="122"/>
    </row>
    <row r="163" spans="2:7" ht="36.75" customHeight="1">
      <c r="B163" s="73"/>
      <c r="C163" s="73"/>
      <c r="D163" s="73"/>
      <c r="E163" s="73"/>
      <c r="F163" s="73"/>
      <c r="G163" s="122"/>
    </row>
    <row r="164" spans="2:7" ht="36.75" customHeight="1">
      <c r="B164" s="73"/>
      <c r="C164" s="73"/>
      <c r="D164" s="73"/>
      <c r="E164" s="73"/>
      <c r="F164" s="73"/>
      <c r="G164" s="122"/>
    </row>
    <row r="165" spans="2:7" ht="36.75" customHeight="1">
      <c r="B165" s="73"/>
      <c r="C165" s="73"/>
      <c r="D165" s="73"/>
      <c r="E165" s="73"/>
      <c r="F165" s="73"/>
      <c r="G165" s="122"/>
    </row>
    <row r="166" spans="2:7">
      <c r="B166" s="73"/>
      <c r="C166" s="73"/>
      <c r="D166" s="73"/>
      <c r="E166" s="73"/>
      <c r="F166" s="73"/>
      <c r="G166" s="122"/>
    </row>
    <row r="167" spans="2:7">
      <c r="B167" s="73"/>
      <c r="C167" s="73"/>
      <c r="D167" s="73"/>
      <c r="E167" s="73"/>
      <c r="F167" s="73"/>
      <c r="G167" s="122"/>
    </row>
    <row r="168" spans="2:7">
      <c r="B168" s="73"/>
      <c r="C168" s="73"/>
      <c r="D168" s="73"/>
      <c r="E168" s="73"/>
      <c r="F168" s="73"/>
      <c r="G168" s="122"/>
    </row>
    <row r="169" spans="2:7">
      <c r="B169" s="73"/>
      <c r="C169" s="73"/>
      <c r="D169" s="73"/>
      <c r="E169" s="73"/>
      <c r="F169" s="73"/>
      <c r="G169" s="122"/>
    </row>
    <row r="170" spans="2:7">
      <c r="B170" s="73"/>
      <c r="C170" s="73"/>
      <c r="D170" s="73"/>
      <c r="E170" s="73"/>
      <c r="F170" s="73"/>
      <c r="G170" s="122"/>
    </row>
    <row r="171" spans="2:7">
      <c r="B171" s="73"/>
      <c r="C171" s="73"/>
      <c r="D171" s="73"/>
      <c r="E171" s="73"/>
      <c r="F171" s="73"/>
      <c r="G171" s="122"/>
    </row>
    <row r="172" spans="2:7">
      <c r="B172" s="73"/>
      <c r="C172" s="73"/>
      <c r="D172" s="73"/>
      <c r="E172" s="73"/>
      <c r="F172" s="73"/>
      <c r="G172" s="122"/>
    </row>
    <row r="173" spans="2:7">
      <c r="B173" s="73"/>
      <c r="C173" s="73"/>
      <c r="D173" s="73"/>
      <c r="E173" s="73"/>
      <c r="F173" s="73"/>
      <c r="G173" s="122"/>
    </row>
    <row r="174" spans="2:7">
      <c r="B174" s="73"/>
      <c r="C174" s="73"/>
      <c r="D174" s="73"/>
      <c r="E174" s="73"/>
      <c r="F174" s="73"/>
      <c r="G174" s="122"/>
    </row>
  </sheetData>
  <autoFilter ref="A3:AB128"/>
  <mergeCells count="4">
    <mergeCell ref="C46:D46"/>
    <mergeCell ref="C49:D49"/>
    <mergeCell ref="A4:E4"/>
    <mergeCell ref="J2:K2"/>
  </mergeCells>
  <pageMargins left="0.51" right="0.16" top="0.28000000000000003" bottom="0.34" header="0.23" footer="0.3"/>
  <pageSetup scale="42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AutoCAD.Drawing.24" shapeId="26626" r:id="rId4">
          <objectPr defaultSize="0" autoPict="0" r:id="rId5">
            <anchor moveWithCells="1">
              <from>
                <xdr:col>3</xdr:col>
                <xdr:colOff>257175</xdr:colOff>
                <xdr:row>103</xdr:row>
                <xdr:rowOff>76200</xdr:rowOff>
              </from>
              <to>
                <xdr:col>4</xdr:col>
                <xdr:colOff>180975</xdr:colOff>
                <xdr:row>103</xdr:row>
                <xdr:rowOff>428625</xdr:rowOff>
              </to>
            </anchor>
          </objectPr>
        </oleObject>
      </mc:Choice>
      <mc:Fallback>
        <oleObject progId="AutoCAD.Drawing.24" shapeId="26626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4"/>
  <sheetViews>
    <sheetView view="pageBreakPreview" zoomScale="60" zoomScaleNormal="98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T5" sqref="T5"/>
    </sheetView>
  </sheetViews>
  <sheetFormatPr defaultColWidth="9.140625" defaultRowHeight="15.75"/>
  <cols>
    <col min="1" max="1" width="6.85546875" style="57" customWidth="1"/>
    <col min="2" max="2" width="25.7109375" style="91" customWidth="1"/>
    <col min="3" max="3" width="14" style="57" customWidth="1"/>
    <col min="4" max="4" width="18.7109375" style="57" customWidth="1"/>
    <col min="5" max="5" width="13.5703125" style="57" customWidth="1"/>
    <col min="6" max="6" width="9.42578125" style="57" customWidth="1"/>
    <col min="7" max="7" width="11.42578125" style="121" customWidth="1"/>
    <col min="8" max="13" width="10.7109375" style="57" customWidth="1"/>
    <col min="14" max="14" width="11.42578125" style="57" customWidth="1"/>
    <col min="15" max="15" width="10.7109375" style="57" customWidth="1"/>
    <col min="16" max="18" width="12" style="57" customWidth="1"/>
    <col min="19" max="19" width="10.7109375" style="57" customWidth="1"/>
    <col min="20" max="20" width="17.42578125" style="57" customWidth="1"/>
    <col min="21" max="21" width="21.5703125" style="57" customWidth="1"/>
    <col min="22" max="22" width="13.140625" style="57" bestFit="1" customWidth="1"/>
    <col min="23" max="23" width="9.140625" style="57"/>
    <col min="24" max="24" width="13.140625" style="57" bestFit="1" customWidth="1"/>
    <col min="25" max="16384" width="9.140625" style="57"/>
  </cols>
  <sheetData>
    <row r="1" spans="1:21" ht="46.5" customHeight="1">
      <c r="B1" s="58"/>
      <c r="C1" s="17"/>
      <c r="D1" s="58"/>
      <c r="E1" s="58"/>
      <c r="F1" s="58"/>
      <c r="G1" s="107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</row>
    <row r="2" spans="1:21" ht="54.75" customHeight="1">
      <c r="A2" s="60" t="s">
        <v>244</v>
      </c>
      <c r="B2" s="61" t="s">
        <v>241</v>
      </c>
      <c r="C2" s="60" t="s">
        <v>242</v>
      </c>
      <c r="D2" s="60" t="s">
        <v>243</v>
      </c>
      <c r="E2" s="60" t="s">
        <v>303</v>
      </c>
      <c r="F2" s="60" t="s">
        <v>397</v>
      </c>
      <c r="G2" s="64" t="s">
        <v>467</v>
      </c>
      <c r="H2" s="64" t="s">
        <v>474</v>
      </c>
      <c r="I2" s="64" t="s">
        <v>476</v>
      </c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60" t="s">
        <v>314</v>
      </c>
      <c r="U2" s="60" t="s">
        <v>317</v>
      </c>
    </row>
    <row r="3" spans="1:21" ht="38.25" customHeight="1">
      <c r="A3" s="62" t="s">
        <v>316</v>
      </c>
      <c r="B3" s="63"/>
      <c r="C3" s="62"/>
      <c r="D3" s="62"/>
      <c r="E3" s="62"/>
      <c r="F3" s="60"/>
      <c r="G3" s="108" t="s">
        <v>466</v>
      </c>
      <c r="H3" s="64" t="s">
        <v>466</v>
      </c>
      <c r="I3" s="64" t="s">
        <v>475</v>
      </c>
      <c r="J3" s="64"/>
      <c r="K3" s="64"/>
      <c r="L3" s="64"/>
      <c r="M3" s="64"/>
      <c r="N3" s="64"/>
      <c r="O3" s="173"/>
      <c r="P3" s="64"/>
      <c r="Q3" s="64"/>
      <c r="R3" s="64"/>
      <c r="S3" s="64"/>
      <c r="T3" s="60" t="s">
        <v>318</v>
      </c>
      <c r="U3" s="60" t="s">
        <v>321</v>
      </c>
    </row>
    <row r="4" spans="1:21" ht="30.75" customHeight="1">
      <c r="A4" s="287" t="s">
        <v>482</v>
      </c>
      <c r="B4" s="288"/>
      <c r="C4" s="65"/>
      <c r="D4" s="65"/>
      <c r="E4" s="65"/>
      <c r="F4" s="65"/>
      <c r="G4" s="244">
        <f>SUM(G6:G127)</f>
        <v>194</v>
      </c>
      <c r="H4" s="244">
        <f t="shared" ref="H4:S4" si="0">SUM(H6:H127)</f>
        <v>110</v>
      </c>
      <c r="I4" s="244">
        <f t="shared" si="0"/>
        <v>94</v>
      </c>
      <c r="J4" s="244">
        <f t="shared" si="0"/>
        <v>0</v>
      </c>
      <c r="K4" s="244">
        <f t="shared" si="0"/>
        <v>0</v>
      </c>
      <c r="L4" s="244">
        <f t="shared" si="0"/>
        <v>0</v>
      </c>
      <c r="M4" s="244">
        <f t="shared" si="0"/>
        <v>0</v>
      </c>
      <c r="N4" s="244">
        <f t="shared" si="0"/>
        <v>0</v>
      </c>
      <c r="O4" s="244">
        <f t="shared" si="0"/>
        <v>0</v>
      </c>
      <c r="P4" s="244">
        <f t="shared" si="0"/>
        <v>0</v>
      </c>
      <c r="Q4" s="244">
        <f t="shared" si="0"/>
        <v>0</v>
      </c>
      <c r="R4" s="244">
        <f t="shared" si="0"/>
        <v>0</v>
      </c>
      <c r="S4" s="244">
        <f t="shared" si="0"/>
        <v>0</v>
      </c>
      <c r="T4" s="260">
        <f>T5+T38+T42+T49+T62+T71+T96+T111+T122</f>
        <v>398</v>
      </c>
      <c r="U4" s="62"/>
    </row>
    <row r="5" spans="1:21" ht="51" customHeight="1">
      <c r="A5" s="65" t="s">
        <v>297</v>
      </c>
      <c r="B5" s="66" t="s">
        <v>121</v>
      </c>
      <c r="C5" s="66"/>
      <c r="D5" s="66"/>
      <c r="E5" s="65" t="s">
        <v>307</v>
      </c>
      <c r="F5" s="65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67">
        <f>SUM(T6:T37)</f>
        <v>85</v>
      </c>
      <c r="U5" s="67">
        <f>SUM(U6:U37)</f>
        <v>243.40800000000002</v>
      </c>
    </row>
    <row r="6" spans="1:21" ht="36" customHeight="1">
      <c r="A6" s="49">
        <v>1</v>
      </c>
      <c r="B6" s="68" t="s">
        <v>122</v>
      </c>
      <c r="C6" s="49" t="s">
        <v>123</v>
      </c>
      <c r="D6" s="49"/>
      <c r="E6" s="49" t="s">
        <v>307</v>
      </c>
      <c r="F6" s="69">
        <v>0.84199999999999997</v>
      </c>
      <c r="G6" s="111"/>
      <c r="H6" s="49">
        <v>26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56">
        <f>SUM(G6:S6)</f>
        <v>26</v>
      </c>
      <c r="U6" s="56">
        <f t="shared" ref="U6:U37" si="1">F6*T6*6</f>
        <v>131.352</v>
      </c>
    </row>
    <row r="7" spans="1:21" ht="36" customHeight="1">
      <c r="A7" s="49">
        <v>2</v>
      </c>
      <c r="B7" s="68" t="s">
        <v>124</v>
      </c>
      <c r="C7" s="49" t="s">
        <v>125</v>
      </c>
      <c r="D7" s="49"/>
      <c r="E7" s="49" t="s">
        <v>307</v>
      </c>
      <c r="F7" s="70">
        <v>0.88700000000000001</v>
      </c>
      <c r="G7" s="111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56">
        <f t="shared" ref="T7:T70" si="2">SUM(G7:S7)</f>
        <v>0</v>
      </c>
      <c r="U7" s="56">
        <f t="shared" si="1"/>
        <v>0</v>
      </c>
    </row>
    <row r="8" spans="1:21" ht="36" customHeight="1">
      <c r="A8" s="49">
        <v>3</v>
      </c>
      <c r="B8" s="68" t="s">
        <v>126</v>
      </c>
      <c r="C8" s="49" t="s">
        <v>127</v>
      </c>
      <c r="D8" s="49"/>
      <c r="E8" s="49" t="s">
        <v>307</v>
      </c>
      <c r="F8" s="70">
        <v>0.79800000000000004</v>
      </c>
      <c r="G8" s="111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56">
        <f t="shared" si="2"/>
        <v>0</v>
      </c>
      <c r="U8" s="56">
        <f t="shared" si="1"/>
        <v>0</v>
      </c>
    </row>
    <row r="9" spans="1:21" ht="36" customHeight="1">
      <c r="A9" s="49">
        <v>4</v>
      </c>
      <c r="B9" s="68" t="s">
        <v>128</v>
      </c>
      <c r="C9" s="49" t="s">
        <v>276</v>
      </c>
      <c r="D9" s="49"/>
      <c r="E9" s="49" t="s">
        <v>307</v>
      </c>
      <c r="F9" s="70">
        <v>1.127</v>
      </c>
      <c r="G9" s="111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56">
        <f t="shared" si="2"/>
        <v>0</v>
      </c>
      <c r="U9" s="56">
        <f t="shared" si="1"/>
        <v>0</v>
      </c>
    </row>
    <row r="10" spans="1:21" ht="36" customHeight="1">
      <c r="A10" s="49">
        <v>5</v>
      </c>
      <c r="B10" s="68" t="s">
        <v>194</v>
      </c>
      <c r="C10" s="49" t="s">
        <v>130</v>
      </c>
      <c r="D10" s="49"/>
      <c r="E10" s="49" t="s">
        <v>307</v>
      </c>
      <c r="F10" s="70">
        <v>1.056</v>
      </c>
      <c r="G10" s="111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56">
        <f t="shared" si="2"/>
        <v>0</v>
      </c>
      <c r="U10" s="56">
        <f t="shared" si="1"/>
        <v>0</v>
      </c>
    </row>
    <row r="11" spans="1:21" ht="36" customHeight="1">
      <c r="A11" s="49">
        <v>6</v>
      </c>
      <c r="B11" s="68" t="s">
        <v>131</v>
      </c>
      <c r="C11" s="49" t="s">
        <v>132</v>
      </c>
      <c r="D11" s="49"/>
      <c r="E11" s="49" t="s">
        <v>307</v>
      </c>
      <c r="F11" s="70">
        <v>1.0009999999999999</v>
      </c>
      <c r="G11" s="111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56">
        <f t="shared" si="2"/>
        <v>0</v>
      </c>
      <c r="U11" s="56">
        <f t="shared" si="1"/>
        <v>0</v>
      </c>
    </row>
    <row r="12" spans="1:21" ht="36" customHeight="1">
      <c r="A12" s="49">
        <v>7</v>
      </c>
      <c r="B12" s="68" t="s">
        <v>3</v>
      </c>
      <c r="C12" s="49" t="s">
        <v>136</v>
      </c>
      <c r="D12" s="49"/>
      <c r="E12" s="49" t="s">
        <v>307</v>
      </c>
      <c r="F12" s="70">
        <v>1.286</v>
      </c>
      <c r="G12" s="111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56">
        <f t="shared" si="2"/>
        <v>0</v>
      </c>
      <c r="U12" s="56">
        <f t="shared" si="1"/>
        <v>0</v>
      </c>
    </row>
    <row r="13" spans="1:21" ht="36" customHeight="1">
      <c r="A13" s="49">
        <v>8</v>
      </c>
      <c r="B13" s="68" t="s">
        <v>192</v>
      </c>
      <c r="C13" s="49" t="s">
        <v>273</v>
      </c>
      <c r="D13" s="49"/>
      <c r="E13" s="49" t="s">
        <v>307</v>
      </c>
      <c r="F13" s="70">
        <v>1.496</v>
      </c>
      <c r="G13" s="111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56">
        <f t="shared" si="2"/>
        <v>0</v>
      </c>
      <c r="U13" s="56">
        <f t="shared" si="1"/>
        <v>0</v>
      </c>
    </row>
    <row r="14" spans="1:21" ht="36" customHeight="1">
      <c r="A14" s="49">
        <v>9</v>
      </c>
      <c r="B14" s="68" t="s">
        <v>191</v>
      </c>
      <c r="C14" s="49" t="s">
        <v>274</v>
      </c>
      <c r="D14" s="49"/>
      <c r="E14" s="49" t="s">
        <v>307</v>
      </c>
      <c r="F14" s="70">
        <v>1.496</v>
      </c>
      <c r="G14" s="111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56">
        <f t="shared" si="2"/>
        <v>0</v>
      </c>
      <c r="U14" s="56">
        <f t="shared" si="1"/>
        <v>0</v>
      </c>
    </row>
    <row r="15" spans="1:21" ht="36" customHeight="1">
      <c r="A15" s="49">
        <v>10</v>
      </c>
      <c r="B15" s="68" t="s">
        <v>193</v>
      </c>
      <c r="C15" s="49" t="s">
        <v>275</v>
      </c>
      <c r="D15" s="49"/>
      <c r="E15" s="49" t="s">
        <v>307</v>
      </c>
      <c r="F15" s="70">
        <v>2.1070000000000002</v>
      </c>
      <c r="G15" s="111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56">
        <f t="shared" si="2"/>
        <v>0</v>
      </c>
      <c r="U15" s="56">
        <f t="shared" si="1"/>
        <v>0</v>
      </c>
    </row>
    <row r="16" spans="1:21" ht="36" customHeight="1">
      <c r="A16" s="49">
        <v>11</v>
      </c>
      <c r="B16" s="68" t="s">
        <v>140</v>
      </c>
      <c r="C16" s="49" t="s">
        <v>141</v>
      </c>
      <c r="D16" s="49"/>
      <c r="E16" s="49" t="s">
        <v>307</v>
      </c>
      <c r="F16" s="70">
        <v>0.82799999999999996</v>
      </c>
      <c r="G16" s="111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56">
        <f t="shared" si="2"/>
        <v>0</v>
      </c>
      <c r="U16" s="56">
        <f t="shared" si="1"/>
        <v>0</v>
      </c>
    </row>
    <row r="17" spans="1:21" ht="36" customHeight="1">
      <c r="A17" s="49">
        <v>12</v>
      </c>
      <c r="B17" s="68" t="s">
        <v>142</v>
      </c>
      <c r="C17" s="49" t="s">
        <v>143</v>
      </c>
      <c r="D17" s="49"/>
      <c r="E17" s="49" t="s">
        <v>307</v>
      </c>
      <c r="F17" s="70">
        <v>0.44800000000000001</v>
      </c>
      <c r="G17" s="111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56">
        <f t="shared" si="2"/>
        <v>0</v>
      </c>
      <c r="U17" s="56">
        <f>F17*T17*6</f>
        <v>0</v>
      </c>
    </row>
    <row r="18" spans="1:21" ht="36" customHeight="1">
      <c r="A18" s="49">
        <v>13</v>
      </c>
      <c r="B18" s="68" t="s">
        <v>144</v>
      </c>
      <c r="C18" s="49" t="s">
        <v>145</v>
      </c>
      <c r="D18" s="49"/>
      <c r="E18" s="49" t="s">
        <v>307</v>
      </c>
      <c r="F18" s="70">
        <v>0.23799999999999999</v>
      </c>
      <c r="G18" s="111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56">
        <f t="shared" si="2"/>
        <v>0</v>
      </c>
      <c r="U18" s="56">
        <f t="shared" si="1"/>
        <v>0</v>
      </c>
    </row>
    <row r="19" spans="1:21" ht="36" customHeight="1">
      <c r="A19" s="49">
        <v>14</v>
      </c>
      <c r="B19" s="68" t="s">
        <v>146</v>
      </c>
      <c r="C19" s="49" t="s">
        <v>147</v>
      </c>
      <c r="D19" s="49"/>
      <c r="E19" s="49" t="s">
        <v>307</v>
      </c>
      <c r="F19" s="70">
        <v>0.246</v>
      </c>
      <c r="G19" s="111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56">
        <f t="shared" si="2"/>
        <v>0</v>
      </c>
      <c r="U19" s="56">
        <f t="shared" si="1"/>
        <v>0</v>
      </c>
    </row>
    <row r="20" spans="1:21" ht="36" customHeight="1">
      <c r="A20" s="49">
        <v>15</v>
      </c>
      <c r="B20" s="68" t="s">
        <v>148</v>
      </c>
      <c r="C20" s="49" t="s">
        <v>149</v>
      </c>
      <c r="D20" s="49"/>
      <c r="E20" s="49" t="s">
        <v>307</v>
      </c>
      <c r="F20" s="70">
        <v>0.23799999999999999</v>
      </c>
      <c r="G20" s="111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56">
        <f t="shared" si="2"/>
        <v>0</v>
      </c>
      <c r="U20" s="56">
        <f t="shared" si="1"/>
        <v>0</v>
      </c>
    </row>
    <row r="21" spans="1:21" ht="36" customHeight="1">
      <c r="A21" s="49">
        <v>16</v>
      </c>
      <c r="B21" s="68" t="s">
        <v>150</v>
      </c>
      <c r="C21" s="49" t="s">
        <v>151</v>
      </c>
      <c r="D21" s="49"/>
      <c r="E21" s="49" t="s">
        <v>307</v>
      </c>
      <c r="F21" s="70">
        <v>0.23799999999999999</v>
      </c>
      <c r="G21" s="111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56">
        <f t="shared" si="2"/>
        <v>0</v>
      </c>
      <c r="U21" s="56">
        <f t="shared" si="1"/>
        <v>0</v>
      </c>
    </row>
    <row r="22" spans="1:21" ht="36" customHeight="1">
      <c r="A22" s="49">
        <v>17</v>
      </c>
      <c r="B22" s="68" t="s">
        <v>152</v>
      </c>
      <c r="C22" s="49" t="s">
        <v>153</v>
      </c>
      <c r="D22" s="49"/>
      <c r="E22" s="49" t="s">
        <v>307</v>
      </c>
      <c r="F22" s="70">
        <v>0.23300000000000001</v>
      </c>
      <c r="G22" s="111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56">
        <f t="shared" si="2"/>
        <v>0</v>
      </c>
      <c r="U22" s="56">
        <f t="shared" si="1"/>
        <v>0</v>
      </c>
    </row>
    <row r="23" spans="1:21" ht="36" customHeight="1">
      <c r="A23" s="49">
        <v>18</v>
      </c>
      <c r="B23" s="6" t="s">
        <v>456</v>
      </c>
      <c r="C23" s="49" t="s">
        <v>155</v>
      </c>
      <c r="D23" s="49"/>
      <c r="E23" s="49" t="s">
        <v>307</v>
      </c>
      <c r="F23" s="70">
        <v>0.93300000000000005</v>
      </c>
      <c r="G23" s="111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6">
        <f t="shared" si="2"/>
        <v>0</v>
      </c>
      <c r="U23" s="56">
        <f t="shared" si="1"/>
        <v>0</v>
      </c>
    </row>
    <row r="24" spans="1:21" ht="36" customHeight="1">
      <c r="A24" s="49">
        <v>19</v>
      </c>
      <c r="B24" s="68" t="s">
        <v>156</v>
      </c>
      <c r="C24" s="49" t="s">
        <v>157</v>
      </c>
      <c r="D24" s="49"/>
      <c r="E24" s="49" t="s">
        <v>307</v>
      </c>
      <c r="F24" s="70">
        <v>1.371</v>
      </c>
      <c r="G24" s="111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56">
        <f t="shared" si="2"/>
        <v>0</v>
      </c>
      <c r="U24" s="56">
        <f t="shared" si="1"/>
        <v>0</v>
      </c>
    </row>
    <row r="25" spans="1:21" ht="36" customHeight="1">
      <c r="A25" s="49">
        <v>20</v>
      </c>
      <c r="B25" s="68" t="s">
        <v>166</v>
      </c>
      <c r="C25" s="49" t="s">
        <v>167</v>
      </c>
      <c r="D25" s="49"/>
      <c r="E25" s="49" t="s">
        <v>307</v>
      </c>
      <c r="F25" s="70">
        <v>0.96199999999999997</v>
      </c>
      <c r="G25" s="111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56">
        <f t="shared" si="2"/>
        <v>0</v>
      </c>
      <c r="U25" s="56">
        <f t="shared" si="1"/>
        <v>0</v>
      </c>
    </row>
    <row r="26" spans="1:21" ht="36" customHeight="1">
      <c r="A26" s="49">
        <v>21</v>
      </c>
      <c r="B26" s="68" t="s">
        <v>197</v>
      </c>
      <c r="C26" s="49" t="s">
        <v>158</v>
      </c>
      <c r="D26" s="49"/>
      <c r="E26" s="49" t="s">
        <v>307</v>
      </c>
      <c r="F26" s="70">
        <v>0.36399999999999999</v>
      </c>
      <c r="G26" s="111"/>
      <c r="H26" s="49"/>
      <c r="I26" s="49">
        <v>19</v>
      </c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56">
        <f t="shared" si="2"/>
        <v>19</v>
      </c>
      <c r="U26" s="56">
        <f t="shared" si="1"/>
        <v>41.495999999999995</v>
      </c>
    </row>
    <row r="27" spans="1:21" ht="36" customHeight="1">
      <c r="A27" s="49">
        <v>22</v>
      </c>
      <c r="B27" s="68" t="s">
        <v>137</v>
      </c>
      <c r="C27" s="49" t="s">
        <v>159</v>
      </c>
      <c r="D27" s="49"/>
      <c r="E27" s="49" t="s">
        <v>307</v>
      </c>
      <c r="F27" s="70">
        <v>0.69699999999999995</v>
      </c>
      <c r="G27" s="111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56">
        <f t="shared" si="2"/>
        <v>0</v>
      </c>
      <c r="U27" s="56">
        <f t="shared" si="1"/>
        <v>0</v>
      </c>
    </row>
    <row r="28" spans="1:21" ht="36" customHeight="1">
      <c r="A28" s="49">
        <v>23</v>
      </c>
      <c r="B28" s="68" t="s">
        <v>160</v>
      </c>
      <c r="C28" s="49" t="s">
        <v>163</v>
      </c>
      <c r="D28" s="49"/>
      <c r="E28" s="49" t="s">
        <v>307</v>
      </c>
      <c r="F28" s="70">
        <v>0.72299999999999998</v>
      </c>
      <c r="G28" s="111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56">
        <f t="shared" si="2"/>
        <v>0</v>
      </c>
      <c r="U28" s="56">
        <f t="shared" si="1"/>
        <v>0</v>
      </c>
    </row>
    <row r="29" spans="1:21" ht="36" customHeight="1">
      <c r="A29" s="49">
        <v>24</v>
      </c>
      <c r="B29" s="68" t="s">
        <v>161</v>
      </c>
      <c r="C29" s="49" t="s">
        <v>164</v>
      </c>
      <c r="D29" s="49"/>
      <c r="E29" s="49" t="s">
        <v>307</v>
      </c>
      <c r="F29" s="70">
        <v>0.21</v>
      </c>
      <c r="G29" s="111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56">
        <f t="shared" si="2"/>
        <v>0</v>
      </c>
      <c r="U29" s="56">
        <f t="shared" si="1"/>
        <v>0</v>
      </c>
    </row>
    <row r="30" spans="1:21" ht="36" customHeight="1">
      <c r="A30" s="49">
        <v>25</v>
      </c>
      <c r="B30" s="68" t="s">
        <v>162</v>
      </c>
      <c r="C30" s="49" t="s">
        <v>165</v>
      </c>
      <c r="D30" s="49"/>
      <c r="E30" s="49" t="s">
        <v>307</v>
      </c>
      <c r="F30" s="70">
        <v>0.34</v>
      </c>
      <c r="G30" s="111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56">
        <f t="shared" si="2"/>
        <v>0</v>
      </c>
      <c r="U30" s="56">
        <f t="shared" si="1"/>
        <v>0</v>
      </c>
    </row>
    <row r="31" spans="1:21" ht="36" customHeight="1">
      <c r="A31" s="49">
        <v>26</v>
      </c>
      <c r="B31" s="68" t="s">
        <v>266</v>
      </c>
      <c r="C31" s="49" t="s">
        <v>267</v>
      </c>
      <c r="D31" s="49"/>
      <c r="E31" s="49" t="s">
        <v>307</v>
      </c>
      <c r="F31" s="70">
        <v>1.5149999999999999</v>
      </c>
      <c r="G31" s="111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56">
        <f t="shared" si="2"/>
        <v>0</v>
      </c>
      <c r="U31" s="56">
        <f t="shared" si="1"/>
        <v>0</v>
      </c>
    </row>
    <row r="32" spans="1:21" ht="36" customHeight="1">
      <c r="A32" s="49">
        <v>27</v>
      </c>
      <c r="B32" s="68" t="s">
        <v>268</v>
      </c>
      <c r="C32" s="49" t="s">
        <v>269</v>
      </c>
      <c r="D32" s="49"/>
      <c r="E32" s="49" t="s">
        <v>307</v>
      </c>
      <c r="F32" s="70">
        <v>1.5149999999999999</v>
      </c>
      <c r="G32" s="111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56">
        <f t="shared" si="2"/>
        <v>0</v>
      </c>
      <c r="U32" s="56">
        <f t="shared" si="1"/>
        <v>0</v>
      </c>
    </row>
    <row r="33" spans="1:21" ht="36" customHeight="1">
      <c r="A33" s="49">
        <v>28</v>
      </c>
      <c r="B33" s="68" t="s">
        <v>270</v>
      </c>
      <c r="C33" s="49" t="s">
        <v>271</v>
      </c>
      <c r="D33" s="49"/>
      <c r="E33" s="49" t="s">
        <v>307</v>
      </c>
      <c r="F33" s="70">
        <v>1.163</v>
      </c>
      <c r="G33" s="111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56">
        <f t="shared" si="2"/>
        <v>0</v>
      </c>
      <c r="U33" s="56">
        <f t="shared" si="1"/>
        <v>0</v>
      </c>
    </row>
    <row r="34" spans="1:21" ht="36" customHeight="1">
      <c r="A34" s="49">
        <v>29</v>
      </c>
      <c r="B34" s="6" t="s">
        <v>396</v>
      </c>
      <c r="C34" s="7" t="s">
        <v>272</v>
      </c>
      <c r="D34" s="7"/>
      <c r="E34" s="7" t="s">
        <v>307</v>
      </c>
      <c r="F34" s="101">
        <v>0.23300000000000001</v>
      </c>
      <c r="G34" s="111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56">
        <f t="shared" si="2"/>
        <v>0</v>
      </c>
      <c r="U34" s="56">
        <f t="shared" si="1"/>
        <v>0</v>
      </c>
    </row>
    <row r="35" spans="1:21" s="133" customFormat="1" ht="36" customHeight="1">
      <c r="A35" s="49">
        <v>30</v>
      </c>
      <c r="B35" s="129" t="s">
        <v>142</v>
      </c>
      <c r="C35" s="128" t="s">
        <v>398</v>
      </c>
      <c r="D35" s="128"/>
      <c r="E35" s="128" t="s">
        <v>307</v>
      </c>
      <c r="F35" s="130">
        <v>0.40500000000000003</v>
      </c>
      <c r="G35" s="131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56">
        <f t="shared" si="2"/>
        <v>0</v>
      </c>
      <c r="U35" s="132">
        <f t="shared" si="1"/>
        <v>0</v>
      </c>
    </row>
    <row r="36" spans="1:21" s="73" customFormat="1" ht="36" customHeight="1">
      <c r="A36" s="49">
        <v>31</v>
      </c>
      <c r="B36" s="51" t="s">
        <v>332</v>
      </c>
      <c r="C36" s="44" t="s">
        <v>330</v>
      </c>
      <c r="D36" s="44"/>
      <c r="E36" s="44" t="s">
        <v>307</v>
      </c>
      <c r="F36" s="71">
        <v>0.31</v>
      </c>
      <c r="G36" s="111">
        <v>20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56">
        <f t="shared" si="2"/>
        <v>20</v>
      </c>
      <c r="U36" s="56">
        <f t="shared" si="1"/>
        <v>37.200000000000003</v>
      </c>
    </row>
    <row r="37" spans="1:21" s="73" customFormat="1" ht="36" customHeight="1">
      <c r="A37" s="49">
        <v>32</v>
      </c>
      <c r="B37" s="51" t="s">
        <v>332</v>
      </c>
      <c r="C37" s="44" t="s">
        <v>331</v>
      </c>
      <c r="D37" s="44"/>
      <c r="E37" s="44" t="s">
        <v>307</v>
      </c>
      <c r="F37" s="71">
        <v>0.27800000000000002</v>
      </c>
      <c r="G37" s="111">
        <v>20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56">
        <f t="shared" si="2"/>
        <v>20</v>
      </c>
      <c r="U37" s="56">
        <f t="shared" si="1"/>
        <v>33.36</v>
      </c>
    </row>
    <row r="38" spans="1:21" ht="36" customHeight="1">
      <c r="A38" s="65" t="s">
        <v>298</v>
      </c>
      <c r="B38" s="66" t="s">
        <v>245</v>
      </c>
      <c r="C38" s="66"/>
      <c r="D38" s="66"/>
      <c r="E38" s="65" t="s">
        <v>307</v>
      </c>
      <c r="F38" s="65"/>
      <c r="G38" s="110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>
        <f>SUM(T39:T41)</f>
        <v>0</v>
      </c>
      <c r="U38" s="67">
        <f>SUM(U39:U41)</f>
        <v>0</v>
      </c>
    </row>
    <row r="39" spans="1:21" ht="36" customHeight="1">
      <c r="A39" s="49">
        <v>1</v>
      </c>
      <c r="B39" s="68" t="s">
        <v>230</v>
      </c>
      <c r="C39" s="49" t="s">
        <v>300</v>
      </c>
      <c r="D39" s="49"/>
      <c r="E39" s="49" t="s">
        <v>307</v>
      </c>
      <c r="F39" s="70">
        <v>0.95799999999999996</v>
      </c>
      <c r="G39" s="111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56">
        <f t="shared" si="2"/>
        <v>0</v>
      </c>
      <c r="U39" s="56">
        <f>F39*T39*6</f>
        <v>0</v>
      </c>
    </row>
    <row r="40" spans="1:21" ht="36" customHeight="1">
      <c r="A40" s="49">
        <v>2</v>
      </c>
      <c r="B40" s="68" t="s">
        <v>232</v>
      </c>
      <c r="C40" s="49" t="s">
        <v>299</v>
      </c>
      <c r="D40" s="49"/>
      <c r="E40" s="49" t="s">
        <v>307</v>
      </c>
      <c r="F40" s="70">
        <v>1.038</v>
      </c>
      <c r="G40" s="111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56">
        <f t="shared" si="2"/>
        <v>0</v>
      </c>
      <c r="U40" s="56">
        <f>F40*T40*6</f>
        <v>0</v>
      </c>
    </row>
    <row r="41" spans="1:21" ht="36" customHeight="1">
      <c r="A41" s="49">
        <v>3</v>
      </c>
      <c r="B41" s="68" t="s">
        <v>302</v>
      </c>
      <c r="C41" s="49" t="s">
        <v>235</v>
      </c>
      <c r="D41" s="49"/>
      <c r="E41" s="49" t="s">
        <v>307</v>
      </c>
      <c r="F41" s="70">
        <v>0.75</v>
      </c>
      <c r="G41" s="111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56">
        <f t="shared" si="2"/>
        <v>0</v>
      </c>
      <c r="U41" s="56">
        <f>F41*T41*6</f>
        <v>0</v>
      </c>
    </row>
    <row r="42" spans="1:21" ht="36" customHeight="1">
      <c r="A42" s="65" t="s">
        <v>277</v>
      </c>
      <c r="B42" s="66" t="s">
        <v>168</v>
      </c>
      <c r="C42" s="66"/>
      <c r="D42" s="66"/>
      <c r="E42" s="65" t="s">
        <v>307</v>
      </c>
      <c r="F42" s="65"/>
      <c r="G42" s="110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>
        <f>SUM(T43:T45)</f>
        <v>0</v>
      </c>
      <c r="U42" s="67">
        <f>SUM(U43:U45)</f>
        <v>0</v>
      </c>
    </row>
    <row r="43" spans="1:21" ht="36" customHeight="1">
      <c r="A43" s="49">
        <v>1</v>
      </c>
      <c r="B43" s="68" t="s">
        <v>169</v>
      </c>
      <c r="C43" s="49" t="s">
        <v>294</v>
      </c>
      <c r="D43" s="49"/>
      <c r="E43" s="49" t="s">
        <v>307</v>
      </c>
      <c r="F43" s="74">
        <v>1.0409999999999999</v>
      </c>
      <c r="G43" s="113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56">
        <f t="shared" si="2"/>
        <v>0</v>
      </c>
      <c r="U43" s="56">
        <f>F43*T43*6</f>
        <v>0</v>
      </c>
    </row>
    <row r="44" spans="1:21" ht="36" customHeight="1">
      <c r="A44" s="49">
        <v>2</v>
      </c>
      <c r="B44" s="68" t="s">
        <v>170</v>
      </c>
      <c r="C44" s="49" t="s">
        <v>295</v>
      </c>
      <c r="D44" s="49"/>
      <c r="E44" s="49" t="s">
        <v>307</v>
      </c>
      <c r="F44" s="74">
        <v>1.155</v>
      </c>
      <c r="G44" s="113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56">
        <f t="shared" si="2"/>
        <v>0</v>
      </c>
      <c r="U44" s="56">
        <f>F44*T44*6</f>
        <v>0</v>
      </c>
    </row>
    <row r="45" spans="1:21" ht="36" customHeight="1">
      <c r="A45" s="49">
        <v>3</v>
      </c>
      <c r="B45" s="68" t="s">
        <v>171</v>
      </c>
      <c r="C45" s="49" t="s">
        <v>296</v>
      </c>
      <c r="D45" s="49"/>
      <c r="E45" s="49" t="s">
        <v>307</v>
      </c>
      <c r="F45" s="74">
        <v>0.42</v>
      </c>
      <c r="G45" s="113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56">
        <f t="shared" si="2"/>
        <v>0</v>
      </c>
      <c r="U45" s="56">
        <f>F45*T45*6</f>
        <v>0</v>
      </c>
    </row>
    <row r="46" spans="1:21" ht="27" customHeight="1">
      <c r="A46" s="65" t="s">
        <v>304</v>
      </c>
      <c r="B46" s="75" t="s">
        <v>117</v>
      </c>
      <c r="C46" s="279" t="s">
        <v>329</v>
      </c>
      <c r="D46" s="280"/>
      <c r="E46" s="65" t="s">
        <v>307</v>
      </c>
      <c r="F46" s="76"/>
      <c r="G46" s="114"/>
      <c r="H46" s="12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>
        <f>SUM(T47:T48)</f>
        <v>0</v>
      </c>
      <c r="U46" s="67">
        <f>SUM(U47:U48)</f>
        <v>0</v>
      </c>
    </row>
    <row r="47" spans="1:21" s="78" customFormat="1" ht="36" customHeight="1">
      <c r="A47" s="49">
        <v>10</v>
      </c>
      <c r="B47" s="68" t="s">
        <v>265</v>
      </c>
      <c r="C47" s="49" t="s">
        <v>325</v>
      </c>
      <c r="D47" s="49"/>
      <c r="E47" s="49" t="s">
        <v>307</v>
      </c>
      <c r="F47" s="74">
        <v>0.23899999999999999</v>
      </c>
      <c r="G47" s="113"/>
      <c r="H47" s="141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56">
        <f t="shared" si="2"/>
        <v>0</v>
      </c>
      <c r="U47" s="56">
        <f>F47*T47*6</f>
        <v>0</v>
      </c>
    </row>
    <row r="48" spans="1:21" s="93" customFormat="1" ht="36" customHeight="1">
      <c r="A48" s="44">
        <v>11</v>
      </c>
      <c r="B48" s="51" t="s">
        <v>27</v>
      </c>
      <c r="C48" s="44" t="s">
        <v>326</v>
      </c>
      <c r="D48" s="44"/>
      <c r="E48" s="44" t="s">
        <v>307</v>
      </c>
      <c r="F48" s="71">
        <v>1.079</v>
      </c>
      <c r="G48" s="113"/>
      <c r="H48" s="14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56">
        <f t="shared" si="2"/>
        <v>0</v>
      </c>
      <c r="U48" s="56">
        <f>F48*T48*6</f>
        <v>0</v>
      </c>
    </row>
    <row r="49" spans="1:21" ht="27" customHeight="1">
      <c r="A49" s="65" t="s">
        <v>305</v>
      </c>
      <c r="B49" s="75" t="s">
        <v>117</v>
      </c>
      <c r="C49" s="279" t="s">
        <v>301</v>
      </c>
      <c r="D49" s="281"/>
      <c r="E49" s="65" t="s">
        <v>307</v>
      </c>
      <c r="F49" s="76"/>
      <c r="G49" s="114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>
        <f>SUM(T50:T61)</f>
        <v>243</v>
      </c>
      <c r="U49" s="67">
        <f>SUM(U50:U61)</f>
        <v>1452.9600000000003</v>
      </c>
    </row>
    <row r="50" spans="1:21" s="73" customFormat="1" ht="36" customHeight="1">
      <c r="A50" s="44">
        <v>1</v>
      </c>
      <c r="B50" s="51" t="s">
        <v>328</v>
      </c>
      <c r="C50" s="44" t="s">
        <v>333</v>
      </c>
      <c r="D50" s="94"/>
      <c r="E50" s="44" t="s">
        <v>307</v>
      </c>
      <c r="F50" s="44">
        <v>1.4770000000000001</v>
      </c>
      <c r="G50" s="115">
        <v>24</v>
      </c>
      <c r="H50" s="44"/>
      <c r="I50" s="44">
        <v>40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56">
        <f t="shared" si="2"/>
        <v>64</v>
      </c>
      <c r="U50" s="72">
        <f t="shared" ref="U50:U61" si="3">F50*T50*6</f>
        <v>567.16800000000001</v>
      </c>
    </row>
    <row r="51" spans="1:21" s="73" customFormat="1" ht="36" customHeight="1">
      <c r="A51" s="44">
        <v>2</v>
      </c>
      <c r="B51" s="51" t="s">
        <v>22</v>
      </c>
      <c r="C51" s="44" t="s">
        <v>334</v>
      </c>
      <c r="D51" s="94"/>
      <c r="E51" s="44" t="s">
        <v>307</v>
      </c>
      <c r="F51" s="44">
        <v>1.8129999999999999</v>
      </c>
      <c r="G51" s="115">
        <v>16</v>
      </c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56">
        <f t="shared" si="2"/>
        <v>16</v>
      </c>
      <c r="U51" s="72">
        <f t="shared" si="3"/>
        <v>174.048</v>
      </c>
    </row>
    <row r="52" spans="1:21" s="73" customFormat="1" ht="36" customHeight="1">
      <c r="A52" s="44">
        <v>3</v>
      </c>
      <c r="B52" s="51" t="s">
        <v>23</v>
      </c>
      <c r="C52" s="44" t="s">
        <v>335</v>
      </c>
      <c r="D52" s="44"/>
      <c r="E52" s="44" t="s">
        <v>307</v>
      </c>
      <c r="F52" s="44">
        <v>1.8140000000000001</v>
      </c>
      <c r="G52" s="115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56">
        <f t="shared" si="2"/>
        <v>0</v>
      </c>
      <c r="U52" s="72">
        <f t="shared" si="3"/>
        <v>0</v>
      </c>
    </row>
    <row r="53" spans="1:21" s="73" customFormat="1" ht="36" customHeight="1">
      <c r="A53" s="44">
        <v>4</v>
      </c>
      <c r="B53" s="51" t="s">
        <v>24</v>
      </c>
      <c r="C53" s="44" t="s">
        <v>337</v>
      </c>
      <c r="D53" s="44"/>
      <c r="E53" s="44" t="s">
        <v>307</v>
      </c>
      <c r="F53" s="44">
        <v>1.4019999999999999</v>
      </c>
      <c r="G53" s="115">
        <v>16</v>
      </c>
      <c r="H53" s="44"/>
      <c r="I53" s="44">
        <v>35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56">
        <f t="shared" si="2"/>
        <v>51</v>
      </c>
      <c r="U53" s="72">
        <f t="shared" si="3"/>
        <v>429.01199999999994</v>
      </c>
    </row>
    <row r="54" spans="1:21" s="93" customFormat="1" ht="36" customHeight="1">
      <c r="A54" s="44">
        <v>5</v>
      </c>
      <c r="B54" s="51" t="s">
        <v>9</v>
      </c>
      <c r="C54" s="44" t="s">
        <v>338</v>
      </c>
      <c r="D54" s="44"/>
      <c r="E54" s="44" t="s">
        <v>307</v>
      </c>
      <c r="F54" s="44">
        <v>0.41499999999999998</v>
      </c>
      <c r="G54" s="115">
        <v>10</v>
      </c>
      <c r="H54" s="142"/>
      <c r="I54" s="92"/>
      <c r="J54" s="92"/>
      <c r="K54" s="92"/>
      <c r="L54" s="92"/>
      <c r="M54" s="92"/>
      <c r="N54" s="162"/>
      <c r="O54" s="162"/>
      <c r="P54" s="92"/>
      <c r="Q54" s="92"/>
      <c r="R54" s="92"/>
      <c r="S54" s="92"/>
      <c r="T54" s="56">
        <f t="shared" si="2"/>
        <v>10</v>
      </c>
      <c r="U54" s="72">
        <f t="shared" si="3"/>
        <v>24.9</v>
      </c>
    </row>
    <row r="55" spans="1:21" s="93" customFormat="1" ht="36" customHeight="1">
      <c r="A55" s="44">
        <v>6</v>
      </c>
      <c r="B55" s="51" t="s">
        <v>342</v>
      </c>
      <c r="C55" s="44" t="s">
        <v>341</v>
      </c>
      <c r="D55" s="44"/>
      <c r="E55" s="44" t="s">
        <v>307</v>
      </c>
      <c r="F55" s="44">
        <v>0.27800000000000002</v>
      </c>
      <c r="G55" s="115"/>
      <c r="H55" s="142">
        <v>84</v>
      </c>
      <c r="I55" s="92"/>
      <c r="J55" s="92"/>
      <c r="K55" s="92"/>
      <c r="L55" s="92"/>
      <c r="M55" s="92"/>
      <c r="N55" s="162"/>
      <c r="O55" s="162"/>
      <c r="P55" s="92"/>
      <c r="Q55" s="92"/>
      <c r="R55" s="92"/>
      <c r="S55" s="92"/>
      <c r="T55" s="56">
        <f t="shared" si="2"/>
        <v>84</v>
      </c>
      <c r="U55" s="72">
        <f t="shared" si="3"/>
        <v>140.11200000000002</v>
      </c>
    </row>
    <row r="56" spans="1:21" s="93" customFormat="1" ht="36" customHeight="1">
      <c r="A56" s="44">
        <v>7</v>
      </c>
      <c r="B56" s="51" t="s">
        <v>339</v>
      </c>
      <c r="C56" s="44" t="s">
        <v>340</v>
      </c>
      <c r="D56" s="44"/>
      <c r="E56" s="44" t="s">
        <v>307</v>
      </c>
      <c r="F56" s="44">
        <v>0.33400000000000002</v>
      </c>
      <c r="G56" s="115"/>
      <c r="H56" s="142"/>
      <c r="I56" s="92"/>
      <c r="J56" s="92"/>
      <c r="K56" s="92"/>
      <c r="L56" s="92"/>
      <c r="M56" s="92"/>
      <c r="N56" s="142"/>
      <c r="O56" s="162"/>
      <c r="P56" s="92"/>
      <c r="Q56" s="92"/>
      <c r="R56" s="92"/>
      <c r="S56" s="92"/>
      <c r="T56" s="56">
        <f t="shared" si="2"/>
        <v>0</v>
      </c>
      <c r="U56" s="72">
        <f t="shared" si="3"/>
        <v>0</v>
      </c>
    </row>
    <row r="57" spans="1:21" s="93" customFormat="1" ht="36" customHeight="1">
      <c r="A57" s="44">
        <v>8</v>
      </c>
      <c r="B57" s="48" t="s">
        <v>343</v>
      </c>
      <c r="C57" s="42" t="s">
        <v>344</v>
      </c>
      <c r="D57" s="44"/>
      <c r="E57" s="44" t="s">
        <v>307</v>
      </c>
      <c r="F57" s="44">
        <v>0.91700000000000004</v>
      </c>
      <c r="G57" s="115"/>
      <c r="H57" s="142"/>
      <c r="I57" s="92"/>
      <c r="J57" s="92"/>
      <c r="K57" s="92"/>
      <c r="L57" s="92"/>
      <c r="M57" s="92"/>
      <c r="N57" s="142"/>
      <c r="O57" s="162"/>
      <c r="P57" s="92"/>
      <c r="Q57" s="92"/>
      <c r="R57" s="92"/>
      <c r="S57" s="92"/>
      <c r="T57" s="56">
        <f t="shared" si="2"/>
        <v>0</v>
      </c>
      <c r="U57" s="72">
        <f t="shared" si="3"/>
        <v>0</v>
      </c>
    </row>
    <row r="58" spans="1:21" s="93" customFormat="1" ht="36" customHeight="1">
      <c r="A58" s="44">
        <v>9</v>
      </c>
      <c r="B58" s="51" t="s">
        <v>345</v>
      </c>
      <c r="C58" s="44" t="s">
        <v>346</v>
      </c>
      <c r="D58" s="44"/>
      <c r="E58" s="44" t="s">
        <v>307</v>
      </c>
      <c r="F58" s="44">
        <v>1.0900000000000001</v>
      </c>
      <c r="G58" s="115">
        <v>18</v>
      </c>
      <c r="H58" s="142"/>
      <c r="I58" s="92"/>
      <c r="J58" s="92"/>
      <c r="K58" s="92"/>
      <c r="L58" s="92"/>
      <c r="M58" s="92"/>
      <c r="N58" s="142"/>
      <c r="O58" s="162"/>
      <c r="P58" s="92"/>
      <c r="Q58" s="92"/>
      <c r="R58" s="92"/>
      <c r="S58" s="92"/>
      <c r="T58" s="56">
        <f t="shared" si="2"/>
        <v>18</v>
      </c>
      <c r="U58" s="72">
        <f t="shared" si="3"/>
        <v>117.72</v>
      </c>
    </row>
    <row r="59" spans="1:21" s="93" customFormat="1" ht="36" customHeight="1">
      <c r="A59" s="44">
        <v>10</v>
      </c>
      <c r="B59" s="51" t="s">
        <v>347</v>
      </c>
      <c r="C59" s="44" t="s">
        <v>336</v>
      </c>
      <c r="D59" s="44"/>
      <c r="E59" s="44" t="s">
        <v>307</v>
      </c>
      <c r="F59" s="44">
        <v>1.2689999999999999</v>
      </c>
      <c r="G59" s="115"/>
      <c r="H59" s="142"/>
      <c r="I59" s="92"/>
      <c r="J59" s="92"/>
      <c r="K59" s="92"/>
      <c r="L59" s="92"/>
      <c r="M59" s="92"/>
      <c r="N59" s="142"/>
      <c r="O59" s="162"/>
      <c r="P59" s="92"/>
      <c r="Q59" s="92"/>
      <c r="R59" s="92"/>
      <c r="S59" s="92"/>
      <c r="T59" s="56">
        <f t="shared" si="2"/>
        <v>0</v>
      </c>
      <c r="U59" s="72">
        <f t="shared" si="3"/>
        <v>0</v>
      </c>
    </row>
    <row r="60" spans="1:21" s="93" customFormat="1" ht="36" customHeight="1">
      <c r="A60" s="44">
        <v>11</v>
      </c>
      <c r="B60" s="51" t="s">
        <v>349</v>
      </c>
      <c r="C60" s="44" t="s">
        <v>350</v>
      </c>
      <c r="D60" s="44"/>
      <c r="E60" s="44" t="s">
        <v>307</v>
      </c>
      <c r="F60" s="44">
        <v>0.95199999999999996</v>
      </c>
      <c r="G60" s="115"/>
      <c r="H60" s="142"/>
      <c r="I60" s="92"/>
      <c r="J60" s="92"/>
      <c r="K60" s="92"/>
      <c r="L60" s="92"/>
      <c r="M60" s="92"/>
      <c r="N60" s="162"/>
      <c r="O60" s="162"/>
      <c r="P60" s="92"/>
      <c r="Q60" s="92"/>
      <c r="R60" s="92"/>
      <c r="S60" s="92"/>
      <c r="T60" s="56">
        <f t="shared" si="2"/>
        <v>0</v>
      </c>
      <c r="U60" s="72">
        <f t="shared" si="3"/>
        <v>0</v>
      </c>
    </row>
    <row r="61" spans="1:21" s="93" customFormat="1" ht="36" customHeight="1">
      <c r="A61" s="44">
        <v>12</v>
      </c>
      <c r="B61" s="51" t="s">
        <v>142</v>
      </c>
      <c r="C61" s="44" t="s">
        <v>348</v>
      </c>
      <c r="D61" s="44"/>
      <c r="E61" s="44" t="s">
        <v>307</v>
      </c>
      <c r="F61" s="44">
        <v>0.66800000000000004</v>
      </c>
      <c r="G61" s="115"/>
      <c r="H61" s="142"/>
      <c r="I61" s="92"/>
      <c r="J61" s="92"/>
      <c r="K61" s="92"/>
      <c r="L61" s="92"/>
      <c r="M61" s="92"/>
      <c r="N61" s="162"/>
      <c r="O61" s="162"/>
      <c r="P61" s="92"/>
      <c r="Q61" s="92"/>
      <c r="R61" s="92"/>
      <c r="S61" s="92"/>
      <c r="T61" s="56">
        <f t="shared" si="2"/>
        <v>0</v>
      </c>
      <c r="U61" s="72">
        <f t="shared" si="3"/>
        <v>0</v>
      </c>
    </row>
    <row r="62" spans="1:21" ht="36.75" customHeight="1">
      <c r="A62" s="65" t="s">
        <v>306</v>
      </c>
      <c r="B62" s="66" t="s">
        <v>399</v>
      </c>
      <c r="C62" s="66"/>
      <c r="D62" s="66"/>
      <c r="E62" s="65" t="s">
        <v>307</v>
      </c>
      <c r="F62" s="65"/>
      <c r="G62" s="110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>
        <f>SUM(T63:T70)</f>
        <v>0</v>
      </c>
      <c r="U62" s="67">
        <f>SUM(U63:U70)</f>
        <v>0</v>
      </c>
    </row>
    <row r="63" spans="1:21" s="73" customFormat="1" ht="36.75" customHeight="1">
      <c r="A63" s="44">
        <v>1</v>
      </c>
      <c r="B63" s="48" t="s">
        <v>408</v>
      </c>
      <c r="C63" s="44" t="s">
        <v>400</v>
      </c>
      <c r="D63" s="44"/>
      <c r="E63" s="44" t="s">
        <v>307</v>
      </c>
      <c r="F63" s="71">
        <v>2.125</v>
      </c>
      <c r="G63" s="112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56">
        <f t="shared" si="2"/>
        <v>0</v>
      </c>
      <c r="U63" s="72">
        <f t="shared" ref="U63:U70" si="4">F63*T63*6</f>
        <v>0</v>
      </c>
    </row>
    <row r="64" spans="1:21" s="73" customFormat="1" ht="36.75" customHeight="1">
      <c r="A64" s="44">
        <v>2</v>
      </c>
      <c r="B64" s="48" t="s">
        <v>409</v>
      </c>
      <c r="C64" s="44" t="s">
        <v>401</v>
      </c>
      <c r="D64" s="44"/>
      <c r="E64" s="44" t="s">
        <v>307</v>
      </c>
      <c r="F64" s="71">
        <v>2.0739999999999998</v>
      </c>
      <c r="G64" s="112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56">
        <f t="shared" si="2"/>
        <v>0</v>
      </c>
      <c r="U64" s="72">
        <f t="shared" si="4"/>
        <v>0</v>
      </c>
    </row>
    <row r="65" spans="1:21" s="73" customFormat="1" ht="36.75" customHeight="1">
      <c r="A65" s="44">
        <v>3</v>
      </c>
      <c r="B65" s="48" t="s">
        <v>410</v>
      </c>
      <c r="C65" s="44" t="s">
        <v>402</v>
      </c>
      <c r="D65" s="44"/>
      <c r="E65" s="44" t="s">
        <v>307</v>
      </c>
      <c r="F65" s="71">
        <v>0.89600000000000002</v>
      </c>
      <c r="G65" s="112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56">
        <f t="shared" si="2"/>
        <v>0</v>
      </c>
      <c r="U65" s="72">
        <f t="shared" si="4"/>
        <v>0</v>
      </c>
    </row>
    <row r="66" spans="1:21" s="73" customFormat="1" ht="36.75" customHeight="1">
      <c r="A66" s="44">
        <v>4</v>
      </c>
      <c r="B66" s="48" t="s">
        <v>411</v>
      </c>
      <c r="C66" s="44" t="s">
        <v>403</v>
      </c>
      <c r="D66" s="44"/>
      <c r="E66" s="44" t="s">
        <v>307</v>
      </c>
      <c r="F66" s="71">
        <v>1.1499999999999999</v>
      </c>
      <c r="G66" s="112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56">
        <f t="shared" si="2"/>
        <v>0</v>
      </c>
      <c r="U66" s="72">
        <f t="shared" si="4"/>
        <v>0</v>
      </c>
    </row>
    <row r="67" spans="1:21" s="73" customFormat="1" ht="36.75" customHeight="1">
      <c r="A67" s="44">
        <v>5</v>
      </c>
      <c r="B67" s="48" t="s">
        <v>412</v>
      </c>
      <c r="C67" s="44" t="s">
        <v>404</v>
      </c>
      <c r="D67" s="44"/>
      <c r="E67" s="44" t="s">
        <v>307</v>
      </c>
      <c r="F67" s="71">
        <v>0.372</v>
      </c>
      <c r="G67" s="112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56">
        <f t="shared" si="2"/>
        <v>0</v>
      </c>
      <c r="U67" s="72">
        <f t="shared" si="4"/>
        <v>0</v>
      </c>
    </row>
    <row r="68" spans="1:21" s="73" customFormat="1" ht="36.75" customHeight="1">
      <c r="A68" s="44">
        <v>6</v>
      </c>
      <c r="B68" s="48" t="s">
        <v>413</v>
      </c>
      <c r="C68" s="44" t="s">
        <v>405</v>
      </c>
      <c r="D68" s="44"/>
      <c r="E68" s="44" t="s">
        <v>307</v>
      </c>
      <c r="F68" s="71">
        <v>0.3</v>
      </c>
      <c r="G68" s="112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56">
        <f t="shared" si="2"/>
        <v>0</v>
      </c>
      <c r="U68" s="72">
        <f t="shared" si="4"/>
        <v>0</v>
      </c>
    </row>
    <row r="69" spans="1:21" s="73" customFormat="1" ht="36.75" customHeight="1">
      <c r="A69" s="44">
        <v>7</v>
      </c>
      <c r="B69" s="48" t="s">
        <v>287</v>
      </c>
      <c r="C69" s="44" t="s">
        <v>406</v>
      </c>
      <c r="D69" s="44"/>
      <c r="E69" s="44" t="s">
        <v>307</v>
      </c>
      <c r="F69" s="71">
        <v>0.192</v>
      </c>
      <c r="G69" s="112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56">
        <f t="shared" si="2"/>
        <v>0</v>
      </c>
      <c r="U69" s="72">
        <f t="shared" si="4"/>
        <v>0</v>
      </c>
    </row>
    <row r="70" spans="1:21" s="73" customFormat="1" ht="36.75" customHeight="1">
      <c r="A70" s="44">
        <v>8</v>
      </c>
      <c r="B70" s="48" t="s">
        <v>414</v>
      </c>
      <c r="C70" s="44" t="s">
        <v>407</v>
      </c>
      <c r="D70" s="44"/>
      <c r="E70" s="44" t="s">
        <v>307</v>
      </c>
      <c r="F70" s="71">
        <v>1.46</v>
      </c>
      <c r="G70" s="112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56">
        <f t="shared" si="2"/>
        <v>0</v>
      </c>
      <c r="U70" s="72">
        <f t="shared" si="4"/>
        <v>0</v>
      </c>
    </row>
    <row r="71" spans="1:21" ht="36.75" customHeight="1">
      <c r="A71" s="65" t="s">
        <v>306</v>
      </c>
      <c r="B71" s="66" t="s">
        <v>119</v>
      </c>
      <c r="C71" s="66"/>
      <c r="D71" s="66"/>
      <c r="E71" s="65" t="s">
        <v>307</v>
      </c>
      <c r="F71" s="65"/>
      <c r="G71" s="110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56">
        <f>SUM(T72:T95)</f>
        <v>48</v>
      </c>
      <c r="U71" s="67">
        <f>SUM(U72:U95)</f>
        <v>407.75999999999993</v>
      </c>
    </row>
    <row r="72" spans="1:21" s="73" customFormat="1" ht="36.75" customHeight="1">
      <c r="A72" s="44">
        <v>1</v>
      </c>
      <c r="B72" s="51" t="s">
        <v>351</v>
      </c>
      <c r="C72" s="44" t="s">
        <v>352</v>
      </c>
      <c r="D72" s="44"/>
      <c r="E72" s="44" t="s">
        <v>307</v>
      </c>
      <c r="F72" s="71">
        <v>2</v>
      </c>
      <c r="G72" s="112">
        <v>12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56">
        <f t="shared" ref="T72:T121" si="5">SUM(G72:S72)</f>
        <v>12</v>
      </c>
      <c r="U72" s="72">
        <f t="shared" ref="U72:U95" si="6">F72*T72*6</f>
        <v>144</v>
      </c>
    </row>
    <row r="73" spans="1:21" s="73" customFormat="1" ht="36.75" customHeight="1">
      <c r="A73" s="44">
        <v>2</v>
      </c>
      <c r="B73" s="51" t="s">
        <v>353</v>
      </c>
      <c r="C73" s="44" t="s">
        <v>354</v>
      </c>
      <c r="D73" s="44"/>
      <c r="E73" s="44" t="s">
        <v>307</v>
      </c>
      <c r="F73" s="71">
        <v>1.51</v>
      </c>
      <c r="G73" s="112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56">
        <f t="shared" si="5"/>
        <v>0</v>
      </c>
      <c r="U73" s="72">
        <f t="shared" si="6"/>
        <v>0</v>
      </c>
    </row>
    <row r="74" spans="1:21" s="73" customFormat="1" ht="36.75" customHeight="1">
      <c r="A74" s="44">
        <v>3</v>
      </c>
      <c r="B74" s="51" t="s">
        <v>44</v>
      </c>
      <c r="C74" s="44" t="s">
        <v>355</v>
      </c>
      <c r="D74" s="44"/>
      <c r="E74" s="44" t="s">
        <v>307</v>
      </c>
      <c r="F74" s="71">
        <v>0.86</v>
      </c>
      <c r="G74" s="112">
        <v>4</v>
      </c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56">
        <f t="shared" si="5"/>
        <v>4</v>
      </c>
      <c r="U74" s="72">
        <f t="shared" si="6"/>
        <v>20.64</v>
      </c>
    </row>
    <row r="75" spans="1:21" s="73" customFormat="1" ht="36.75" customHeight="1">
      <c r="A75" s="44">
        <v>4</v>
      </c>
      <c r="B75" s="51" t="s">
        <v>359</v>
      </c>
      <c r="C75" s="44" t="s">
        <v>357</v>
      </c>
      <c r="D75" s="44"/>
      <c r="E75" s="44" t="s">
        <v>307</v>
      </c>
      <c r="F75" s="71">
        <v>1.36</v>
      </c>
      <c r="G75" s="112">
        <v>4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56">
        <f t="shared" si="5"/>
        <v>4</v>
      </c>
      <c r="U75" s="72">
        <f t="shared" si="6"/>
        <v>32.64</v>
      </c>
    </row>
    <row r="76" spans="1:21" s="73" customFormat="1" ht="36.75" customHeight="1">
      <c r="A76" s="44">
        <v>5</v>
      </c>
      <c r="B76" s="51" t="s">
        <v>356</v>
      </c>
      <c r="C76" s="44" t="s">
        <v>358</v>
      </c>
      <c r="D76" s="44"/>
      <c r="E76" s="44" t="s">
        <v>307</v>
      </c>
      <c r="F76" s="71">
        <v>1.3</v>
      </c>
      <c r="G76" s="112">
        <v>4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56">
        <f t="shared" si="5"/>
        <v>4</v>
      </c>
      <c r="U76" s="72">
        <f t="shared" si="6"/>
        <v>31.200000000000003</v>
      </c>
    </row>
    <row r="77" spans="1:21" s="73" customFormat="1" ht="36.75" customHeight="1">
      <c r="A77" s="44">
        <v>6</v>
      </c>
      <c r="B77" s="51" t="s">
        <v>8</v>
      </c>
      <c r="C77" s="44" t="s">
        <v>360</v>
      </c>
      <c r="D77" s="44"/>
      <c r="E77" s="44" t="s">
        <v>307</v>
      </c>
      <c r="F77" s="71">
        <v>2.02</v>
      </c>
      <c r="G77" s="112">
        <v>12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56">
        <f t="shared" si="5"/>
        <v>12</v>
      </c>
      <c r="U77" s="72">
        <f t="shared" si="6"/>
        <v>145.44</v>
      </c>
    </row>
    <row r="78" spans="1:21" s="73" customFormat="1" ht="36.75" customHeight="1">
      <c r="A78" s="44">
        <v>7</v>
      </c>
      <c r="B78" s="51" t="s">
        <v>42</v>
      </c>
      <c r="C78" s="44" t="s">
        <v>361</v>
      </c>
      <c r="D78" s="44"/>
      <c r="E78" s="44" t="s">
        <v>307</v>
      </c>
      <c r="F78" s="71">
        <v>0.47</v>
      </c>
      <c r="G78" s="112">
        <v>12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56">
        <f t="shared" si="5"/>
        <v>12</v>
      </c>
      <c r="U78" s="72">
        <f t="shared" si="6"/>
        <v>33.839999999999996</v>
      </c>
    </row>
    <row r="79" spans="1:21" s="73" customFormat="1" ht="36.75" customHeight="1">
      <c r="A79" s="44">
        <v>8</v>
      </c>
      <c r="B79" s="51" t="s">
        <v>362</v>
      </c>
      <c r="C79" s="44" t="s">
        <v>363</v>
      </c>
      <c r="D79" s="44"/>
      <c r="E79" s="44" t="s">
        <v>307</v>
      </c>
      <c r="F79" s="71">
        <v>0.47599999999999998</v>
      </c>
      <c r="G79" s="112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56">
        <f t="shared" si="5"/>
        <v>0</v>
      </c>
      <c r="U79" s="72">
        <f t="shared" si="6"/>
        <v>0</v>
      </c>
    </row>
    <row r="80" spans="1:21" s="73" customFormat="1" ht="36.75" customHeight="1">
      <c r="A80" s="44">
        <v>9</v>
      </c>
      <c r="B80" s="51" t="s">
        <v>364</v>
      </c>
      <c r="C80" s="44" t="s">
        <v>365</v>
      </c>
      <c r="D80" s="44"/>
      <c r="E80" s="44" t="s">
        <v>307</v>
      </c>
      <c r="F80" s="71">
        <v>1.48</v>
      </c>
      <c r="G80" s="112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56">
        <f t="shared" si="5"/>
        <v>0</v>
      </c>
      <c r="U80" s="72">
        <f t="shared" si="6"/>
        <v>0</v>
      </c>
    </row>
    <row r="81" spans="1:21" s="73" customFormat="1" ht="36.75" customHeight="1">
      <c r="A81" s="44">
        <v>10</v>
      </c>
      <c r="B81" s="51" t="s">
        <v>367</v>
      </c>
      <c r="C81" s="44" t="s">
        <v>366</v>
      </c>
      <c r="D81" s="44"/>
      <c r="E81" s="44" t="s">
        <v>307</v>
      </c>
      <c r="F81" s="71">
        <v>0.99</v>
      </c>
      <c r="G81" s="112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56">
        <f t="shared" si="5"/>
        <v>0</v>
      </c>
      <c r="U81" s="72">
        <f t="shared" si="6"/>
        <v>0</v>
      </c>
    </row>
    <row r="82" spans="1:21" s="73" customFormat="1" ht="36.75" customHeight="1">
      <c r="A82" s="44">
        <v>11</v>
      </c>
      <c r="B82" s="51" t="s">
        <v>370</v>
      </c>
      <c r="C82" s="44" t="s">
        <v>369</v>
      </c>
      <c r="D82" s="44"/>
      <c r="E82" s="44" t="s">
        <v>307</v>
      </c>
      <c r="F82" s="71">
        <v>0.31</v>
      </c>
      <c r="G82" s="112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56">
        <f t="shared" si="5"/>
        <v>0</v>
      </c>
      <c r="U82" s="72">
        <f t="shared" si="6"/>
        <v>0</v>
      </c>
    </row>
    <row r="83" spans="1:21" s="73" customFormat="1" ht="36.75" customHeight="1">
      <c r="A83" s="44">
        <v>12</v>
      </c>
      <c r="B83" s="51" t="s">
        <v>372</v>
      </c>
      <c r="C83" s="44" t="s">
        <v>368</v>
      </c>
      <c r="D83" s="44"/>
      <c r="E83" s="44" t="s">
        <v>307</v>
      </c>
      <c r="F83" s="71">
        <v>0.27800000000000002</v>
      </c>
      <c r="G83" s="112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56">
        <f t="shared" si="5"/>
        <v>0</v>
      </c>
      <c r="U83" s="72">
        <f t="shared" si="6"/>
        <v>0</v>
      </c>
    </row>
    <row r="84" spans="1:21" s="73" customFormat="1" ht="36.75" customHeight="1">
      <c r="A84" s="44">
        <v>13</v>
      </c>
      <c r="B84" s="51" t="s">
        <v>373</v>
      </c>
      <c r="C84" s="44" t="s">
        <v>371</v>
      </c>
      <c r="D84" s="44"/>
      <c r="E84" s="44" t="s">
        <v>307</v>
      </c>
      <c r="F84" s="71">
        <v>0.33700000000000002</v>
      </c>
      <c r="G84" s="112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56">
        <f t="shared" si="5"/>
        <v>0</v>
      </c>
      <c r="U84" s="72">
        <f t="shared" si="6"/>
        <v>0</v>
      </c>
    </row>
    <row r="85" spans="1:21" s="73" customFormat="1" ht="36.75" customHeight="1">
      <c r="A85" s="44">
        <v>14</v>
      </c>
      <c r="B85" s="51" t="s">
        <v>374</v>
      </c>
      <c r="C85" s="44" t="s">
        <v>375</v>
      </c>
      <c r="D85" s="44"/>
      <c r="E85" s="44" t="s">
        <v>307</v>
      </c>
      <c r="F85" s="71">
        <v>2.85</v>
      </c>
      <c r="G85" s="112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56">
        <f t="shared" si="5"/>
        <v>0</v>
      </c>
      <c r="U85" s="72">
        <f t="shared" si="6"/>
        <v>0</v>
      </c>
    </row>
    <row r="86" spans="1:21" s="73" customFormat="1" ht="36.75" customHeight="1">
      <c r="A86" s="44">
        <v>15</v>
      </c>
      <c r="B86" s="51" t="s">
        <v>376</v>
      </c>
      <c r="C86" s="44" t="s">
        <v>377</v>
      </c>
      <c r="D86" s="44"/>
      <c r="E86" s="44" t="s">
        <v>307</v>
      </c>
      <c r="F86" s="71">
        <v>2.21</v>
      </c>
      <c r="G86" s="112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56">
        <f t="shared" si="5"/>
        <v>0</v>
      </c>
      <c r="U86" s="72">
        <f t="shared" si="6"/>
        <v>0</v>
      </c>
    </row>
    <row r="87" spans="1:21" s="73" customFormat="1" ht="36.75" customHeight="1">
      <c r="A87" s="44">
        <v>16</v>
      </c>
      <c r="B87" s="51" t="s">
        <v>378</v>
      </c>
      <c r="C87" s="44" t="s">
        <v>379</v>
      </c>
      <c r="D87" s="44"/>
      <c r="E87" s="44" t="s">
        <v>307</v>
      </c>
      <c r="F87" s="71">
        <v>0.62</v>
      </c>
      <c r="G87" s="112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56">
        <f t="shared" si="5"/>
        <v>0</v>
      </c>
      <c r="U87" s="72">
        <f t="shared" si="6"/>
        <v>0</v>
      </c>
    </row>
    <row r="88" spans="1:21" s="73" customFormat="1" ht="36.75" customHeight="1">
      <c r="A88" s="44">
        <v>17</v>
      </c>
      <c r="B88" s="51" t="s">
        <v>380</v>
      </c>
      <c r="C88" s="44" t="s">
        <v>381</v>
      </c>
      <c r="D88" s="44"/>
      <c r="E88" s="44" t="s">
        <v>307</v>
      </c>
      <c r="F88" s="71">
        <v>0.65</v>
      </c>
      <c r="G88" s="112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56">
        <f t="shared" si="5"/>
        <v>0</v>
      </c>
      <c r="U88" s="72">
        <f t="shared" si="6"/>
        <v>0</v>
      </c>
    </row>
    <row r="89" spans="1:21" s="73" customFormat="1" ht="36.75" customHeight="1">
      <c r="A89" s="44">
        <v>18</v>
      </c>
      <c r="B89" s="51" t="s">
        <v>382</v>
      </c>
      <c r="C89" s="44" t="s">
        <v>383</v>
      </c>
      <c r="D89" s="44"/>
      <c r="E89" s="44" t="s">
        <v>307</v>
      </c>
      <c r="F89" s="71">
        <v>0.63</v>
      </c>
      <c r="G89" s="112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56">
        <f t="shared" si="5"/>
        <v>0</v>
      </c>
      <c r="U89" s="72">
        <f t="shared" si="6"/>
        <v>0</v>
      </c>
    </row>
    <row r="90" spans="1:21" s="73" customFormat="1" ht="36.75" customHeight="1">
      <c r="A90" s="44">
        <v>19</v>
      </c>
      <c r="B90" s="51" t="s">
        <v>384</v>
      </c>
      <c r="C90" s="44" t="s">
        <v>385</v>
      </c>
      <c r="D90" s="44"/>
      <c r="E90" s="44" t="s">
        <v>307</v>
      </c>
      <c r="F90" s="71">
        <v>0.63</v>
      </c>
      <c r="G90" s="112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56">
        <f t="shared" si="5"/>
        <v>0</v>
      </c>
      <c r="U90" s="72">
        <f t="shared" si="6"/>
        <v>0</v>
      </c>
    </row>
    <row r="91" spans="1:21" s="73" customFormat="1" ht="36.75" customHeight="1">
      <c r="A91" s="44">
        <v>20</v>
      </c>
      <c r="B91" s="51" t="s">
        <v>380</v>
      </c>
      <c r="C91" s="44" t="s">
        <v>386</v>
      </c>
      <c r="D91" s="44"/>
      <c r="E91" s="44" t="s">
        <v>307</v>
      </c>
      <c r="F91" s="71">
        <v>0.62</v>
      </c>
      <c r="G91" s="112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56">
        <f t="shared" si="5"/>
        <v>0</v>
      </c>
      <c r="U91" s="72">
        <f t="shared" si="6"/>
        <v>0</v>
      </c>
    </row>
    <row r="92" spans="1:21" s="73" customFormat="1" ht="36.75" customHeight="1">
      <c r="A92" s="44">
        <v>22</v>
      </c>
      <c r="B92" s="51" t="s">
        <v>387</v>
      </c>
      <c r="C92" s="44" t="s">
        <v>388</v>
      </c>
      <c r="D92" s="44"/>
      <c r="E92" s="44" t="s">
        <v>307</v>
      </c>
      <c r="F92" s="71">
        <v>0.77</v>
      </c>
      <c r="G92" s="112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56">
        <f t="shared" si="5"/>
        <v>0</v>
      </c>
      <c r="U92" s="72">
        <f t="shared" si="6"/>
        <v>0</v>
      </c>
    </row>
    <row r="93" spans="1:21" s="73" customFormat="1" ht="36.75" customHeight="1">
      <c r="A93" s="44">
        <v>23</v>
      </c>
      <c r="B93" s="51" t="s">
        <v>389</v>
      </c>
      <c r="C93" s="44" t="s">
        <v>390</v>
      </c>
      <c r="D93" s="44"/>
      <c r="E93" s="44" t="s">
        <v>307</v>
      </c>
      <c r="F93" s="71">
        <v>0.1</v>
      </c>
      <c r="G93" s="112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56">
        <f t="shared" si="5"/>
        <v>0</v>
      </c>
      <c r="U93" s="72">
        <f t="shared" si="6"/>
        <v>0</v>
      </c>
    </row>
    <row r="94" spans="1:21" s="73" customFormat="1" ht="36.75" customHeight="1">
      <c r="A94" s="44">
        <v>24</v>
      </c>
      <c r="B94" s="51" t="s">
        <v>391</v>
      </c>
      <c r="C94" s="44" t="s">
        <v>393</v>
      </c>
      <c r="D94" s="44"/>
      <c r="E94" s="44"/>
      <c r="F94" s="71"/>
      <c r="G94" s="112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56">
        <f t="shared" si="5"/>
        <v>0</v>
      </c>
      <c r="U94" s="72">
        <f t="shared" si="6"/>
        <v>0</v>
      </c>
    </row>
    <row r="95" spans="1:21" s="73" customFormat="1" ht="36.75" customHeight="1">
      <c r="A95" s="44">
        <v>25</v>
      </c>
      <c r="B95" s="51" t="s">
        <v>391</v>
      </c>
      <c r="C95" s="44" t="s">
        <v>392</v>
      </c>
      <c r="D95" s="44"/>
      <c r="E95" s="44"/>
      <c r="F95" s="71"/>
      <c r="G95" s="112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56">
        <f t="shared" si="5"/>
        <v>0</v>
      </c>
      <c r="U95" s="72">
        <f t="shared" si="6"/>
        <v>0</v>
      </c>
    </row>
    <row r="96" spans="1:21" s="78" customFormat="1" ht="40.5" customHeight="1">
      <c r="A96" s="50" t="s">
        <v>309</v>
      </c>
      <c r="B96" s="79" t="s">
        <v>293</v>
      </c>
      <c r="C96" s="80"/>
      <c r="D96" s="80"/>
      <c r="E96" s="65" t="s">
        <v>307</v>
      </c>
      <c r="F96" s="81"/>
      <c r="G96" s="116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>
        <f>SUM(T97:T110)</f>
        <v>22</v>
      </c>
      <c r="U96" s="67">
        <f>SUM(U97:U110)</f>
        <v>106.5</v>
      </c>
    </row>
    <row r="97" spans="1:21" s="78" customFormat="1" ht="40.5" customHeight="1">
      <c r="A97" s="39">
        <v>1</v>
      </c>
      <c r="B97" s="68" t="s">
        <v>278</v>
      </c>
      <c r="C97" s="49" t="s">
        <v>279</v>
      </c>
      <c r="D97" s="82"/>
      <c r="E97" s="82" t="s">
        <v>307</v>
      </c>
      <c r="F97" s="74">
        <v>1.425</v>
      </c>
      <c r="G97" s="113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56">
        <f t="shared" si="5"/>
        <v>0</v>
      </c>
      <c r="U97" s="56">
        <f t="shared" ref="U97:U110" si="7">F97*T97*6</f>
        <v>0</v>
      </c>
    </row>
    <row r="98" spans="1:21" s="78" customFormat="1" ht="40.5" customHeight="1">
      <c r="A98" s="39">
        <v>2</v>
      </c>
      <c r="B98" s="68" t="s">
        <v>442</v>
      </c>
      <c r="C98" s="49" t="s">
        <v>444</v>
      </c>
      <c r="D98" s="82"/>
      <c r="E98" s="82" t="s">
        <v>307</v>
      </c>
      <c r="F98" s="74">
        <v>2.15</v>
      </c>
      <c r="G98" s="113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56">
        <f t="shared" si="5"/>
        <v>0</v>
      </c>
      <c r="U98" s="56">
        <f t="shared" si="7"/>
        <v>0</v>
      </c>
    </row>
    <row r="99" spans="1:21" s="78" customFormat="1" ht="40.5" customHeight="1">
      <c r="A99" s="39">
        <v>3</v>
      </c>
      <c r="B99" s="68" t="s">
        <v>443</v>
      </c>
      <c r="C99" s="49" t="s">
        <v>445</v>
      </c>
      <c r="D99" s="82"/>
      <c r="E99" s="82" t="s">
        <v>307</v>
      </c>
      <c r="F99" s="74">
        <v>1.5249999999999999</v>
      </c>
      <c r="G99" s="113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56">
        <f t="shared" si="5"/>
        <v>0</v>
      </c>
      <c r="U99" s="56">
        <f t="shared" si="7"/>
        <v>0</v>
      </c>
    </row>
    <row r="100" spans="1:21" s="78" customFormat="1" ht="40.5" customHeight="1">
      <c r="A100" s="39">
        <v>4</v>
      </c>
      <c r="B100" s="53" t="s">
        <v>280</v>
      </c>
      <c r="C100" s="45" t="s">
        <v>281</v>
      </c>
      <c r="D100" s="83"/>
      <c r="E100" s="83" t="s">
        <v>307</v>
      </c>
      <c r="F100" s="74">
        <v>1.2350000000000001</v>
      </c>
      <c r="G100" s="113">
        <v>12</v>
      </c>
      <c r="H100" s="84"/>
      <c r="I100" s="84"/>
      <c r="J100" s="84"/>
      <c r="K100" s="157"/>
      <c r="L100" s="84"/>
      <c r="M100" s="84"/>
      <c r="N100" s="84"/>
      <c r="O100" s="84"/>
      <c r="P100" s="84"/>
      <c r="Q100" s="84"/>
      <c r="R100" s="84"/>
      <c r="S100" s="84"/>
      <c r="T100" s="56">
        <f t="shared" si="5"/>
        <v>12</v>
      </c>
      <c r="U100" s="56">
        <f t="shared" si="7"/>
        <v>88.92</v>
      </c>
    </row>
    <row r="101" spans="1:21" s="78" customFormat="1" ht="40.5" customHeight="1">
      <c r="A101" s="39">
        <v>5</v>
      </c>
      <c r="B101" s="53" t="s">
        <v>282</v>
      </c>
      <c r="C101" s="45" t="s">
        <v>283</v>
      </c>
      <c r="D101" s="83"/>
      <c r="E101" s="83" t="s">
        <v>307</v>
      </c>
      <c r="F101" s="74">
        <v>1.1419999999999999</v>
      </c>
      <c r="G101" s="113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56">
        <f t="shared" si="5"/>
        <v>0</v>
      </c>
      <c r="U101" s="56">
        <f t="shared" si="7"/>
        <v>0</v>
      </c>
    </row>
    <row r="102" spans="1:21" s="78" customFormat="1" ht="40.5" customHeight="1">
      <c r="A102" s="39">
        <v>6</v>
      </c>
      <c r="B102" s="85" t="s">
        <v>284</v>
      </c>
      <c r="C102" s="45" t="s">
        <v>285</v>
      </c>
      <c r="D102" s="83"/>
      <c r="E102" s="83" t="s">
        <v>307</v>
      </c>
      <c r="F102" s="74">
        <v>0.443</v>
      </c>
      <c r="G102" s="113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56">
        <f t="shared" si="5"/>
        <v>0</v>
      </c>
      <c r="U102" s="56">
        <f t="shared" si="7"/>
        <v>0</v>
      </c>
    </row>
    <row r="103" spans="1:21" s="78" customFormat="1" ht="40.5" customHeight="1">
      <c r="A103" s="39">
        <v>7</v>
      </c>
      <c r="B103" s="86" t="s">
        <v>286</v>
      </c>
      <c r="C103" s="45" t="s">
        <v>441</v>
      </c>
      <c r="D103" s="82"/>
      <c r="E103" s="82" t="s">
        <v>307</v>
      </c>
      <c r="F103" s="74">
        <v>0.92</v>
      </c>
      <c r="G103" s="113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56">
        <f t="shared" si="5"/>
        <v>0</v>
      </c>
      <c r="U103" s="56">
        <f t="shared" si="7"/>
        <v>0</v>
      </c>
    </row>
    <row r="104" spans="1:21" s="78" customFormat="1" ht="40.5" customHeight="1">
      <c r="A104" s="39">
        <v>8</v>
      </c>
      <c r="B104" s="86" t="s">
        <v>287</v>
      </c>
      <c r="C104" s="49" t="s">
        <v>288</v>
      </c>
      <c r="D104" s="82"/>
      <c r="E104" s="82" t="s">
        <v>307</v>
      </c>
      <c r="F104" s="74">
        <v>0.29299999999999998</v>
      </c>
      <c r="G104" s="113">
        <v>10</v>
      </c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56">
        <f t="shared" si="5"/>
        <v>10</v>
      </c>
      <c r="U104" s="56">
        <f t="shared" si="7"/>
        <v>17.579999999999998</v>
      </c>
    </row>
    <row r="105" spans="1:21" s="78" customFormat="1" ht="40.5" customHeight="1">
      <c r="A105" s="39">
        <v>9</v>
      </c>
      <c r="B105" s="86" t="s">
        <v>289</v>
      </c>
      <c r="C105" s="49" t="s">
        <v>290</v>
      </c>
      <c r="D105" s="82"/>
      <c r="E105" s="82" t="s">
        <v>307</v>
      </c>
      <c r="F105" s="74">
        <v>0.33900000000000002</v>
      </c>
      <c r="G105" s="113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56">
        <f t="shared" si="5"/>
        <v>0</v>
      </c>
      <c r="U105" s="56">
        <f t="shared" si="7"/>
        <v>0</v>
      </c>
    </row>
    <row r="106" spans="1:21" s="78" customFormat="1" ht="40.5" customHeight="1">
      <c r="A106" s="39">
        <v>10</v>
      </c>
      <c r="B106" s="86" t="s">
        <v>291</v>
      </c>
      <c r="C106" s="49" t="s">
        <v>415</v>
      </c>
      <c r="D106" s="82"/>
      <c r="E106" s="82" t="s">
        <v>307</v>
      </c>
      <c r="F106" s="74">
        <v>0.221</v>
      </c>
      <c r="G106" s="113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56">
        <f t="shared" si="5"/>
        <v>0</v>
      </c>
      <c r="U106" s="56">
        <f t="shared" si="7"/>
        <v>0</v>
      </c>
    </row>
    <row r="107" spans="1:21" s="78" customFormat="1" ht="40.5" customHeight="1">
      <c r="A107" s="39">
        <v>11</v>
      </c>
      <c r="B107" s="86" t="s">
        <v>25</v>
      </c>
      <c r="C107" s="49" t="s">
        <v>416</v>
      </c>
      <c r="D107" s="82"/>
      <c r="E107" s="82" t="s">
        <v>307</v>
      </c>
      <c r="F107" s="74">
        <v>1.2190000000000001</v>
      </c>
      <c r="G107" s="113"/>
      <c r="H107" s="102"/>
      <c r="I107" s="102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56">
        <f t="shared" si="5"/>
        <v>0</v>
      </c>
      <c r="U107" s="56">
        <f t="shared" si="7"/>
        <v>0</v>
      </c>
    </row>
    <row r="108" spans="1:21" s="78" customFormat="1" ht="40.5" customHeight="1">
      <c r="A108" s="39">
        <v>12</v>
      </c>
      <c r="B108" s="86" t="s">
        <v>418</v>
      </c>
      <c r="C108" s="49" t="s">
        <v>417</v>
      </c>
      <c r="D108" s="82"/>
      <c r="E108" s="82" t="s">
        <v>307</v>
      </c>
      <c r="F108" s="74">
        <v>0.22</v>
      </c>
      <c r="G108" s="113"/>
      <c r="H108" s="102"/>
      <c r="I108" s="102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56">
        <f t="shared" si="5"/>
        <v>0</v>
      </c>
      <c r="U108" s="56">
        <f t="shared" si="7"/>
        <v>0</v>
      </c>
    </row>
    <row r="109" spans="1:21" s="87" customFormat="1" ht="40.5" customHeight="1">
      <c r="A109" s="39">
        <v>13</v>
      </c>
      <c r="B109" s="86" t="s">
        <v>395</v>
      </c>
      <c r="C109" s="49" t="s">
        <v>470</v>
      </c>
      <c r="D109" s="82"/>
      <c r="E109" s="82" t="s">
        <v>307</v>
      </c>
      <c r="F109" s="74">
        <v>0.18099999999999999</v>
      </c>
      <c r="G109" s="113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6">
        <f t="shared" si="5"/>
        <v>0</v>
      </c>
      <c r="U109" s="56">
        <f t="shared" si="7"/>
        <v>0</v>
      </c>
    </row>
    <row r="110" spans="1:21" s="87" customFormat="1" ht="40.5" customHeight="1">
      <c r="A110" s="39">
        <v>14</v>
      </c>
      <c r="B110" s="86" t="s">
        <v>292</v>
      </c>
      <c r="C110" s="49" t="s">
        <v>394</v>
      </c>
      <c r="D110" s="82"/>
      <c r="E110" s="82" t="s">
        <v>307</v>
      </c>
      <c r="F110" s="74">
        <v>0.21</v>
      </c>
      <c r="G110" s="113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6">
        <f t="shared" si="5"/>
        <v>0</v>
      </c>
      <c r="U110" s="56">
        <f t="shared" si="7"/>
        <v>0</v>
      </c>
    </row>
    <row r="111" spans="1:21" s="78" customFormat="1" ht="40.5" customHeight="1">
      <c r="A111" s="50" t="s">
        <v>309</v>
      </c>
      <c r="B111" s="79" t="s">
        <v>427</v>
      </c>
      <c r="C111" s="80"/>
      <c r="D111" s="80"/>
      <c r="E111" s="65" t="s">
        <v>307</v>
      </c>
      <c r="F111" s="81"/>
      <c r="G111" s="116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>
        <f>SUM(T112:T121)</f>
        <v>0</v>
      </c>
      <c r="U111" s="67">
        <f>SUM(U113:U118)</f>
        <v>0</v>
      </c>
    </row>
    <row r="112" spans="1:21" s="78" customFormat="1" ht="40.5" customHeight="1">
      <c r="A112" s="150">
        <v>1</v>
      </c>
      <c r="B112" s="144" t="s">
        <v>438</v>
      </c>
      <c r="C112" s="96" t="s">
        <v>439</v>
      </c>
      <c r="D112" s="143"/>
      <c r="E112" s="42" t="s">
        <v>307</v>
      </c>
      <c r="F112" s="42">
        <v>2.7120000000000002</v>
      </c>
      <c r="G112" s="139"/>
      <c r="H112" s="139"/>
      <c r="I112" s="139"/>
      <c r="J112" s="155"/>
      <c r="K112" s="139"/>
      <c r="L112" s="139"/>
      <c r="M112" s="139"/>
      <c r="N112" s="139"/>
      <c r="O112" s="139"/>
      <c r="P112" s="139"/>
      <c r="Q112" s="139"/>
      <c r="R112" s="139"/>
      <c r="S112" s="139"/>
      <c r="T112" s="56">
        <f t="shared" si="5"/>
        <v>0</v>
      </c>
      <c r="U112" s="56">
        <f t="shared" ref="U112:U119" si="8">F112*T112*6</f>
        <v>0</v>
      </c>
    </row>
    <row r="113" spans="1:21" s="78" customFormat="1" ht="40.5" customHeight="1">
      <c r="A113" s="149">
        <v>2</v>
      </c>
      <c r="B113" s="6" t="s">
        <v>428</v>
      </c>
      <c r="C113" s="7" t="s">
        <v>429</v>
      </c>
      <c r="D113" s="7"/>
      <c r="E113" s="7" t="s">
        <v>307</v>
      </c>
      <c r="F113" s="146">
        <v>2.8290000000000002</v>
      </c>
      <c r="G113" s="124"/>
      <c r="H113" s="77"/>
      <c r="I113" s="77"/>
      <c r="J113" s="102"/>
      <c r="K113" s="77"/>
      <c r="L113" s="77"/>
      <c r="M113" s="77"/>
      <c r="N113" s="77"/>
      <c r="O113" s="77"/>
      <c r="P113" s="77"/>
      <c r="Q113" s="77"/>
      <c r="R113" s="77"/>
      <c r="S113" s="77"/>
      <c r="T113" s="56">
        <f t="shared" si="5"/>
        <v>0</v>
      </c>
      <c r="U113" s="56">
        <f t="shared" si="8"/>
        <v>0</v>
      </c>
    </row>
    <row r="114" spans="1:21" s="78" customFormat="1" ht="40.5" customHeight="1">
      <c r="A114" s="150">
        <v>3</v>
      </c>
      <c r="B114" s="6" t="s">
        <v>413</v>
      </c>
      <c r="C114" s="43" t="s">
        <v>430</v>
      </c>
      <c r="D114" s="43"/>
      <c r="E114" s="43" t="s">
        <v>307</v>
      </c>
      <c r="F114" s="146">
        <v>0.435</v>
      </c>
      <c r="G114" s="113"/>
      <c r="H114" s="84"/>
      <c r="I114" s="84"/>
      <c r="J114" s="156"/>
      <c r="K114" s="84"/>
      <c r="L114" s="84"/>
      <c r="M114" s="84"/>
      <c r="N114" s="84"/>
      <c r="O114" s="84"/>
      <c r="P114" s="84"/>
      <c r="Q114" s="84"/>
      <c r="R114" s="84"/>
      <c r="S114" s="84"/>
      <c r="T114" s="56">
        <f t="shared" si="5"/>
        <v>0</v>
      </c>
      <c r="U114" s="56">
        <f t="shared" si="8"/>
        <v>0</v>
      </c>
    </row>
    <row r="115" spans="1:21" s="78" customFormat="1" ht="40.5" customHeight="1">
      <c r="A115" s="149">
        <v>4</v>
      </c>
      <c r="B115" s="47" t="s">
        <v>461</v>
      </c>
      <c r="C115" s="43" t="s">
        <v>432</v>
      </c>
      <c r="D115" s="43"/>
      <c r="E115" s="43" t="s">
        <v>307</v>
      </c>
      <c r="F115" s="146">
        <v>0.52800000000000002</v>
      </c>
      <c r="G115" s="113"/>
      <c r="H115" s="77"/>
      <c r="I115" s="77"/>
      <c r="J115" s="102"/>
      <c r="K115" s="77"/>
      <c r="L115" s="77"/>
      <c r="M115" s="77"/>
      <c r="N115" s="77"/>
      <c r="O115" s="77"/>
      <c r="P115" s="77"/>
      <c r="Q115" s="77"/>
      <c r="R115" s="77"/>
      <c r="S115" s="77"/>
      <c r="T115" s="56">
        <f t="shared" si="5"/>
        <v>0</v>
      </c>
      <c r="U115" s="56">
        <f t="shared" si="8"/>
        <v>0</v>
      </c>
    </row>
    <row r="116" spans="1:21" s="78" customFormat="1" ht="40.5" customHeight="1">
      <c r="A116" s="150">
        <v>5</v>
      </c>
      <c r="B116" s="47" t="s">
        <v>452</v>
      </c>
      <c r="C116" s="43" t="s">
        <v>447</v>
      </c>
      <c r="D116" s="43"/>
      <c r="E116" s="43" t="s">
        <v>307</v>
      </c>
      <c r="F116" s="146">
        <v>0.28699999999999998</v>
      </c>
      <c r="G116" s="113"/>
      <c r="H116" s="77"/>
      <c r="I116" s="77"/>
      <c r="J116" s="102"/>
      <c r="K116" s="77"/>
      <c r="L116" s="77"/>
      <c r="M116" s="77"/>
      <c r="N116" s="77"/>
      <c r="O116" s="77"/>
      <c r="P116" s="77"/>
      <c r="Q116" s="77"/>
      <c r="R116" s="77"/>
      <c r="S116" s="77"/>
      <c r="T116" s="56">
        <f t="shared" si="5"/>
        <v>0</v>
      </c>
      <c r="U116" s="56">
        <f t="shared" si="8"/>
        <v>0</v>
      </c>
    </row>
    <row r="117" spans="1:21" s="78" customFormat="1" ht="40.5" customHeight="1">
      <c r="A117" s="149">
        <v>6</v>
      </c>
      <c r="B117" s="47" t="s">
        <v>453</v>
      </c>
      <c r="C117" s="43" t="s">
        <v>454</v>
      </c>
      <c r="D117" s="43"/>
      <c r="E117" s="43" t="s">
        <v>307</v>
      </c>
      <c r="F117" s="146">
        <v>0.17799999999999999</v>
      </c>
      <c r="G117" s="113"/>
      <c r="H117" s="77"/>
      <c r="I117" s="77"/>
      <c r="J117" s="102"/>
      <c r="K117" s="77"/>
      <c r="L117" s="77"/>
      <c r="M117" s="77"/>
      <c r="N117" s="77"/>
      <c r="O117" s="77"/>
      <c r="P117" s="77"/>
      <c r="Q117" s="77"/>
      <c r="R117" s="77"/>
      <c r="S117" s="77"/>
      <c r="T117" s="56">
        <f t="shared" si="5"/>
        <v>0</v>
      </c>
      <c r="U117" s="56">
        <f t="shared" si="8"/>
        <v>0</v>
      </c>
    </row>
    <row r="118" spans="1:21" s="78" customFormat="1" ht="40.5" customHeight="1">
      <c r="A118" s="150">
        <v>7</v>
      </c>
      <c r="B118" s="6" t="s">
        <v>449</v>
      </c>
      <c r="C118" s="43" t="s">
        <v>451</v>
      </c>
      <c r="D118" s="7"/>
      <c r="E118" s="7" t="s">
        <v>307</v>
      </c>
      <c r="F118" s="146">
        <v>0.311</v>
      </c>
      <c r="G118" s="113"/>
      <c r="H118" s="77"/>
      <c r="I118" s="77"/>
      <c r="J118" s="102"/>
      <c r="K118" s="77"/>
      <c r="L118" s="77"/>
      <c r="M118" s="77"/>
      <c r="N118" s="77"/>
      <c r="O118" s="77"/>
      <c r="P118" s="77"/>
      <c r="Q118" s="77"/>
      <c r="R118" s="77"/>
      <c r="S118" s="77"/>
      <c r="T118" s="56">
        <f t="shared" si="5"/>
        <v>0</v>
      </c>
      <c r="U118" s="56">
        <f t="shared" si="8"/>
        <v>0</v>
      </c>
    </row>
    <row r="119" spans="1:21" s="78" customFormat="1" ht="40.5" customHeight="1">
      <c r="A119" s="149">
        <v>8</v>
      </c>
      <c r="B119" s="6" t="s">
        <v>450</v>
      </c>
      <c r="C119" s="43" t="s">
        <v>448</v>
      </c>
      <c r="D119" s="7"/>
      <c r="E119" s="7" t="s">
        <v>307</v>
      </c>
      <c r="F119" s="146">
        <v>0.254</v>
      </c>
      <c r="G119" s="113"/>
      <c r="H119" s="77"/>
      <c r="I119" s="77"/>
      <c r="J119" s="102"/>
      <c r="K119" s="77"/>
      <c r="L119" s="77"/>
      <c r="M119" s="77"/>
      <c r="N119" s="77"/>
      <c r="O119" s="77"/>
      <c r="P119" s="255"/>
      <c r="Q119" s="255"/>
      <c r="R119" s="255"/>
      <c r="S119" s="255"/>
      <c r="T119" s="56">
        <f t="shared" si="5"/>
        <v>0</v>
      </c>
      <c r="U119" s="56">
        <f t="shared" si="8"/>
        <v>0</v>
      </c>
    </row>
    <row r="120" spans="1:21" customFormat="1" ht="40.5" customHeight="1">
      <c r="A120" s="149">
        <v>9</v>
      </c>
      <c r="B120" s="218" t="s">
        <v>485</v>
      </c>
      <c r="C120" s="227" t="s">
        <v>484</v>
      </c>
      <c r="D120" s="206"/>
      <c r="E120" s="206" t="s">
        <v>307</v>
      </c>
      <c r="F120" s="219">
        <v>1.05</v>
      </c>
      <c r="G120" s="125"/>
      <c r="H120" s="125"/>
      <c r="I120" s="125"/>
      <c r="J120" s="125"/>
      <c r="K120" s="252"/>
      <c r="L120" s="125"/>
      <c r="M120" s="125"/>
      <c r="N120" s="222"/>
      <c r="O120" s="253"/>
      <c r="P120" s="257"/>
      <c r="Q120" s="257"/>
      <c r="R120" s="257"/>
      <c r="S120" s="257"/>
      <c r="T120" s="254">
        <f t="shared" ref="T120" si="9">SUM(G120:S120)</f>
        <v>0</v>
      </c>
      <c r="U120" s="56">
        <f t="shared" ref="U120" si="10">F120*T120*6</f>
        <v>0</v>
      </c>
    </row>
    <row r="121" spans="1:21" s="78" customFormat="1" ht="40.5" customHeight="1">
      <c r="A121" s="149">
        <v>10</v>
      </c>
      <c r="B121" s="6" t="s">
        <v>462</v>
      </c>
      <c r="C121" s="43" t="s">
        <v>471</v>
      </c>
      <c r="D121" s="7"/>
      <c r="E121" s="7" t="s">
        <v>307</v>
      </c>
      <c r="F121" s="146"/>
      <c r="G121" s="113"/>
      <c r="H121" s="77"/>
      <c r="I121" s="77"/>
      <c r="J121" s="102"/>
      <c r="K121" s="77"/>
      <c r="L121" s="77"/>
      <c r="M121" s="77"/>
      <c r="N121" s="77"/>
      <c r="O121" s="77"/>
      <c r="P121" s="256"/>
      <c r="Q121" s="256"/>
      <c r="R121" s="256"/>
      <c r="S121" s="256"/>
      <c r="T121" s="56">
        <f t="shared" si="5"/>
        <v>0</v>
      </c>
      <c r="U121" s="56"/>
    </row>
    <row r="122" spans="1:21" s="78" customFormat="1" ht="40.5" customHeight="1">
      <c r="A122" s="50" t="s">
        <v>309</v>
      </c>
      <c r="B122" s="79" t="s">
        <v>419</v>
      </c>
      <c r="C122" s="80"/>
      <c r="D122" s="80"/>
      <c r="E122" s="65" t="s">
        <v>307</v>
      </c>
      <c r="F122" s="81"/>
      <c r="G122" s="116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>
        <f>SUM(T123:T127)</f>
        <v>0</v>
      </c>
      <c r="U122" s="67">
        <f>SUM(U123:U127)</f>
        <v>0</v>
      </c>
    </row>
    <row r="123" spans="1:21" s="78" customFormat="1" ht="40.5" customHeight="1">
      <c r="A123" s="39">
        <v>1</v>
      </c>
      <c r="B123" s="68" t="s">
        <v>463</v>
      </c>
      <c r="C123" s="49" t="s">
        <v>440</v>
      </c>
      <c r="D123" s="82"/>
      <c r="E123" s="82" t="s">
        <v>307</v>
      </c>
      <c r="F123" s="74">
        <v>2.0699999999999998</v>
      </c>
      <c r="G123" s="113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56">
        <f>SUM(G123:S123)</f>
        <v>0</v>
      </c>
      <c r="U123" s="56">
        <f>F123*T123*6</f>
        <v>0</v>
      </c>
    </row>
    <row r="124" spans="1:21" s="78" customFormat="1" ht="40.5" customHeight="1">
      <c r="A124" s="52">
        <v>2</v>
      </c>
      <c r="B124" s="6" t="s">
        <v>464</v>
      </c>
      <c r="C124" s="43" t="s">
        <v>446</v>
      </c>
      <c r="D124" s="83"/>
      <c r="E124" s="83" t="s">
        <v>307</v>
      </c>
      <c r="F124" s="74">
        <v>1.4</v>
      </c>
      <c r="G124" s="113"/>
      <c r="H124" s="77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56">
        <f t="shared" ref="T124:T127" si="11">SUM(G124:S124)</f>
        <v>0</v>
      </c>
      <c r="U124" s="56">
        <f>F124*T124*6</f>
        <v>0</v>
      </c>
    </row>
    <row r="125" spans="1:21" s="78" customFormat="1" ht="40.5" customHeight="1">
      <c r="A125" s="39">
        <v>3</v>
      </c>
      <c r="B125" s="53" t="s">
        <v>421</v>
      </c>
      <c r="C125" s="45" t="s">
        <v>423</v>
      </c>
      <c r="D125" s="83"/>
      <c r="E125" s="83" t="s">
        <v>307</v>
      </c>
      <c r="F125" s="74">
        <v>0.40100000000000002</v>
      </c>
      <c r="G125" s="113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56">
        <f t="shared" si="11"/>
        <v>0</v>
      </c>
      <c r="U125" s="56">
        <f>F125*T125*6</f>
        <v>0</v>
      </c>
    </row>
    <row r="126" spans="1:21" s="78" customFormat="1" ht="40.5" customHeight="1">
      <c r="A126" s="52">
        <v>4</v>
      </c>
      <c r="B126" s="103" t="s">
        <v>436</v>
      </c>
      <c r="C126" s="104" t="s">
        <v>437</v>
      </c>
      <c r="D126" s="83"/>
      <c r="E126" s="105" t="s">
        <v>307</v>
      </c>
      <c r="F126" s="106">
        <v>0.41</v>
      </c>
      <c r="G126" s="113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56">
        <f t="shared" si="11"/>
        <v>0</v>
      </c>
      <c r="U126" s="56">
        <f>F126*T126*6</f>
        <v>0</v>
      </c>
    </row>
    <row r="127" spans="1:21" s="78" customFormat="1" ht="40.5" customHeight="1">
      <c r="A127" s="39">
        <v>5</v>
      </c>
      <c r="B127" s="41" t="s">
        <v>434</v>
      </c>
      <c r="C127" s="7" t="s">
        <v>435</v>
      </c>
      <c r="D127" s="82"/>
      <c r="E127" s="40" t="s">
        <v>307</v>
      </c>
      <c r="F127" s="101">
        <v>0.751</v>
      </c>
      <c r="G127" s="113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56">
        <f t="shared" si="11"/>
        <v>0</v>
      </c>
      <c r="U127" s="56">
        <f>F127*T127*6</f>
        <v>0</v>
      </c>
    </row>
    <row r="128" spans="1:21" ht="36.75" customHeight="1">
      <c r="A128" s="65"/>
      <c r="B128" s="66" t="s">
        <v>424</v>
      </c>
      <c r="C128" s="88"/>
      <c r="D128" s="88"/>
      <c r="E128" s="65"/>
      <c r="F128" s="89"/>
      <c r="G128" s="117">
        <f>SUM(G5:G127)</f>
        <v>194</v>
      </c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>
        <f>T122+T111+T96+T71+T62+T49+T46+T42+T38+T5</f>
        <v>398</v>
      </c>
      <c r="U128" s="67">
        <f>U122+U111+U96+U71+U62+U49+U46+U42+U38+U5</f>
        <v>2210.6280000000002</v>
      </c>
    </row>
    <row r="129" spans="2:21" ht="27.75" customHeight="1">
      <c r="B129" s="30"/>
      <c r="C129" s="31"/>
      <c r="D129" s="54"/>
      <c r="E129" s="54"/>
      <c r="F129" s="54"/>
      <c r="G129" s="122"/>
      <c r="U129" s="97"/>
    </row>
    <row r="130" spans="2:21" ht="23.25" customHeight="1">
      <c r="B130" s="18"/>
      <c r="C130" s="18"/>
      <c r="D130" s="18"/>
      <c r="E130" s="18"/>
      <c r="F130" s="18"/>
      <c r="G130" s="122"/>
    </row>
    <row r="131" spans="2:21" ht="33.75" customHeight="1">
      <c r="B131" s="32"/>
      <c r="C131" s="33"/>
      <c r="D131" s="33"/>
      <c r="E131" s="33"/>
      <c r="F131" s="33"/>
      <c r="G131" s="122"/>
    </row>
    <row r="132" spans="2:21" ht="22.5" customHeight="1">
      <c r="B132" s="34"/>
      <c r="C132" s="33"/>
      <c r="D132" s="33"/>
      <c r="E132" s="33"/>
      <c r="F132" s="33"/>
      <c r="G132" s="122"/>
    </row>
    <row r="133" spans="2:21" ht="36.75" customHeight="1">
      <c r="B133" s="57"/>
      <c r="G133" s="122"/>
    </row>
    <row r="134" spans="2:21" ht="36.75" customHeight="1">
      <c r="B134" s="57"/>
      <c r="G134" s="122"/>
    </row>
    <row r="135" spans="2:21" ht="36.75" customHeight="1">
      <c r="B135" s="73"/>
      <c r="C135" s="73"/>
      <c r="D135" s="73"/>
      <c r="E135" s="73"/>
      <c r="F135" s="73"/>
      <c r="G135" s="122"/>
    </row>
    <row r="136" spans="2:21" ht="36.75" customHeight="1">
      <c r="B136" s="73"/>
      <c r="C136" s="73"/>
      <c r="D136" s="73"/>
      <c r="E136" s="73"/>
      <c r="F136" s="73"/>
      <c r="G136" s="122"/>
    </row>
    <row r="137" spans="2:21" ht="36.75" customHeight="1">
      <c r="B137" s="73"/>
      <c r="C137" s="73"/>
      <c r="D137" s="73"/>
      <c r="E137" s="73"/>
      <c r="F137" s="73"/>
      <c r="G137" s="122"/>
    </row>
    <row r="138" spans="2:21" ht="36.75" customHeight="1">
      <c r="B138" s="73"/>
      <c r="C138" s="73"/>
      <c r="D138" s="73"/>
      <c r="E138" s="73"/>
      <c r="F138" s="73"/>
      <c r="G138" s="122"/>
    </row>
    <row r="139" spans="2:21" ht="36.75" customHeight="1">
      <c r="B139" s="73"/>
      <c r="C139" s="73"/>
      <c r="D139" s="73"/>
      <c r="E139" s="73"/>
      <c r="F139" s="73"/>
      <c r="G139" s="122"/>
    </row>
    <row r="140" spans="2:21" ht="36.75" customHeight="1">
      <c r="B140" s="73"/>
      <c r="C140" s="73"/>
      <c r="D140" s="73"/>
      <c r="E140" s="73"/>
      <c r="F140" s="73"/>
      <c r="G140" s="122"/>
    </row>
    <row r="141" spans="2:21" ht="36.75" customHeight="1">
      <c r="B141" s="73"/>
      <c r="C141" s="73"/>
      <c r="D141" s="73"/>
      <c r="E141" s="73"/>
      <c r="F141" s="73"/>
      <c r="G141" s="122"/>
    </row>
    <row r="142" spans="2:21" ht="36.75" customHeight="1">
      <c r="B142" s="73"/>
      <c r="C142" s="73"/>
      <c r="D142" s="73"/>
      <c r="E142" s="73"/>
      <c r="F142" s="73"/>
      <c r="G142" s="122"/>
    </row>
    <row r="143" spans="2:21" ht="36.75" customHeight="1">
      <c r="B143" s="73"/>
      <c r="C143" s="73"/>
      <c r="D143" s="73"/>
      <c r="E143" s="73"/>
      <c r="F143" s="73"/>
      <c r="G143" s="122"/>
    </row>
    <row r="144" spans="2:21" ht="36.75" customHeight="1">
      <c r="B144" s="73"/>
      <c r="C144" s="73"/>
      <c r="D144" s="73"/>
      <c r="E144" s="73"/>
      <c r="F144" s="73"/>
      <c r="G144" s="122"/>
    </row>
    <row r="145" spans="2:7" ht="36.75" customHeight="1">
      <c r="B145" s="73"/>
      <c r="C145" s="73"/>
      <c r="D145" s="73"/>
      <c r="E145" s="73"/>
      <c r="F145" s="73"/>
      <c r="G145" s="122"/>
    </row>
    <row r="146" spans="2:7" ht="36.75" customHeight="1">
      <c r="B146" s="73"/>
      <c r="C146" s="73"/>
      <c r="D146" s="73"/>
      <c r="E146" s="73"/>
      <c r="F146" s="73"/>
      <c r="G146" s="122"/>
    </row>
    <row r="147" spans="2:7" ht="36.75" customHeight="1">
      <c r="B147" s="73"/>
      <c r="C147" s="73"/>
      <c r="D147" s="73"/>
      <c r="E147" s="73"/>
      <c r="F147" s="73"/>
      <c r="G147" s="122"/>
    </row>
    <row r="148" spans="2:7" ht="36.75" customHeight="1">
      <c r="B148" s="73"/>
      <c r="C148" s="73"/>
      <c r="D148" s="73"/>
      <c r="E148" s="73"/>
      <c r="F148" s="73"/>
      <c r="G148" s="122"/>
    </row>
    <row r="149" spans="2:7" ht="36.75" customHeight="1">
      <c r="B149" s="73"/>
      <c r="C149" s="73"/>
      <c r="D149" s="73"/>
      <c r="E149" s="73"/>
      <c r="F149" s="73"/>
      <c r="G149" s="122"/>
    </row>
    <row r="150" spans="2:7" ht="36.75" customHeight="1">
      <c r="B150" s="73"/>
      <c r="C150" s="73"/>
      <c r="D150" s="73"/>
      <c r="E150" s="73"/>
      <c r="F150" s="73"/>
      <c r="G150" s="122"/>
    </row>
    <row r="151" spans="2:7" ht="36.75" customHeight="1">
      <c r="B151" s="73"/>
      <c r="C151" s="73"/>
      <c r="D151" s="73"/>
      <c r="E151" s="73"/>
      <c r="F151" s="73"/>
      <c r="G151" s="122"/>
    </row>
    <row r="152" spans="2:7" ht="36.75" customHeight="1">
      <c r="B152" s="73"/>
      <c r="C152" s="73"/>
      <c r="D152" s="73"/>
      <c r="E152" s="73"/>
      <c r="F152" s="73"/>
      <c r="G152" s="122"/>
    </row>
    <row r="153" spans="2:7" ht="36.75" customHeight="1">
      <c r="B153" s="73"/>
      <c r="C153" s="73"/>
      <c r="D153" s="73"/>
      <c r="E153" s="73"/>
      <c r="F153" s="73"/>
      <c r="G153" s="122"/>
    </row>
    <row r="154" spans="2:7" ht="36.75" customHeight="1">
      <c r="B154" s="73"/>
      <c r="C154" s="73"/>
      <c r="D154" s="73"/>
      <c r="E154" s="73"/>
      <c r="F154" s="73"/>
      <c r="G154" s="122"/>
    </row>
    <row r="155" spans="2:7" ht="36.75" customHeight="1">
      <c r="B155" s="73"/>
      <c r="C155" s="73"/>
      <c r="D155" s="73"/>
      <c r="E155" s="73"/>
      <c r="F155" s="73"/>
      <c r="G155" s="122"/>
    </row>
    <row r="156" spans="2:7" ht="36.75" customHeight="1">
      <c r="B156" s="73"/>
      <c r="C156" s="73"/>
      <c r="D156" s="73"/>
      <c r="E156" s="73"/>
      <c r="F156" s="73"/>
      <c r="G156" s="122"/>
    </row>
    <row r="157" spans="2:7" ht="36.75" customHeight="1">
      <c r="B157" s="73"/>
      <c r="C157" s="73"/>
      <c r="D157" s="73"/>
      <c r="E157" s="73"/>
      <c r="F157" s="73"/>
      <c r="G157" s="122"/>
    </row>
    <row r="158" spans="2:7" ht="36.75" customHeight="1">
      <c r="B158" s="73"/>
      <c r="C158" s="73"/>
      <c r="D158" s="73"/>
      <c r="E158" s="73"/>
      <c r="F158" s="73"/>
      <c r="G158" s="122"/>
    </row>
    <row r="159" spans="2:7" ht="36.75" customHeight="1">
      <c r="B159" s="73"/>
      <c r="C159" s="73"/>
      <c r="D159" s="73"/>
      <c r="E159" s="73"/>
      <c r="F159" s="73"/>
      <c r="G159" s="122"/>
    </row>
    <row r="160" spans="2:7" ht="36.75" customHeight="1">
      <c r="B160" s="73"/>
      <c r="C160" s="73"/>
      <c r="D160" s="73"/>
      <c r="E160" s="73"/>
      <c r="F160" s="73"/>
      <c r="G160" s="122"/>
    </row>
    <row r="161" spans="2:7" ht="36.75" customHeight="1">
      <c r="B161" s="73"/>
      <c r="C161" s="73"/>
      <c r="D161" s="73"/>
      <c r="E161" s="73"/>
      <c r="F161" s="73"/>
      <c r="G161" s="122"/>
    </row>
    <row r="162" spans="2:7" ht="36.75" customHeight="1">
      <c r="B162" s="73"/>
      <c r="C162" s="73"/>
      <c r="D162" s="73"/>
      <c r="E162" s="73"/>
      <c r="F162" s="73"/>
      <c r="G162" s="122"/>
    </row>
    <row r="163" spans="2:7" ht="36.75" customHeight="1">
      <c r="B163" s="73"/>
      <c r="C163" s="73"/>
      <c r="D163" s="73"/>
      <c r="E163" s="73"/>
      <c r="F163" s="73"/>
      <c r="G163" s="122"/>
    </row>
    <row r="164" spans="2:7" ht="36.75" customHeight="1">
      <c r="B164" s="73"/>
      <c r="C164" s="73"/>
      <c r="D164" s="73"/>
      <c r="E164" s="73"/>
      <c r="F164" s="73"/>
      <c r="G164" s="122"/>
    </row>
    <row r="165" spans="2:7" ht="36.75" customHeight="1">
      <c r="B165" s="73"/>
      <c r="C165" s="73"/>
      <c r="D165" s="73"/>
      <c r="E165" s="73"/>
      <c r="F165" s="73"/>
      <c r="G165" s="122"/>
    </row>
    <row r="166" spans="2:7">
      <c r="B166" s="73"/>
      <c r="C166" s="73"/>
      <c r="D166" s="73"/>
      <c r="E166" s="73"/>
      <c r="F166" s="73"/>
      <c r="G166" s="122"/>
    </row>
    <row r="167" spans="2:7">
      <c r="B167" s="73"/>
      <c r="C167" s="73"/>
      <c r="D167" s="73"/>
      <c r="E167" s="73"/>
      <c r="F167" s="73"/>
      <c r="G167" s="122"/>
    </row>
    <row r="168" spans="2:7">
      <c r="B168" s="73"/>
      <c r="C168" s="73"/>
      <c r="D168" s="73"/>
      <c r="E168" s="73"/>
      <c r="F168" s="73"/>
      <c r="G168" s="122"/>
    </row>
    <row r="169" spans="2:7">
      <c r="B169" s="73"/>
      <c r="C169" s="73"/>
      <c r="D169" s="73"/>
      <c r="E169" s="73"/>
      <c r="F169" s="73"/>
    </row>
    <row r="170" spans="2:7">
      <c r="B170" s="73"/>
      <c r="C170" s="73"/>
      <c r="D170" s="73"/>
      <c r="E170" s="73"/>
      <c r="F170" s="73"/>
    </row>
    <row r="171" spans="2:7">
      <c r="B171" s="73"/>
      <c r="C171" s="73"/>
      <c r="D171" s="73"/>
      <c r="E171" s="73"/>
      <c r="F171" s="73"/>
    </row>
    <row r="172" spans="2:7">
      <c r="B172" s="73"/>
      <c r="C172" s="73"/>
      <c r="D172" s="73"/>
      <c r="E172" s="73"/>
      <c r="F172" s="73"/>
    </row>
    <row r="173" spans="2:7">
      <c r="B173" s="73"/>
      <c r="C173" s="73"/>
      <c r="D173" s="73"/>
      <c r="E173" s="73"/>
      <c r="F173" s="73"/>
    </row>
    <row r="174" spans="2:7">
      <c r="B174" s="73"/>
      <c r="C174" s="73"/>
      <c r="D174" s="73"/>
      <c r="E174" s="73"/>
      <c r="F174" s="73"/>
    </row>
  </sheetData>
  <autoFilter ref="A3:W128"/>
  <mergeCells count="3">
    <mergeCell ref="C46:D46"/>
    <mergeCell ref="C49:D49"/>
    <mergeCell ref="A4:B4"/>
  </mergeCells>
  <pageMargins left="0.51" right="0.16" top="0.28000000000000003" bottom="0.34" header="0.23" footer="0.3"/>
  <pageSetup scale="37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AutoCAD.Drawing.24" shapeId="22531" r:id="rId4">
          <objectPr defaultSize="0" autoPict="0" r:id="rId5">
            <anchor moveWithCells="1">
              <from>
                <xdr:col>3</xdr:col>
                <xdr:colOff>257175</xdr:colOff>
                <xdr:row>103</xdr:row>
                <xdr:rowOff>76200</xdr:rowOff>
              </from>
              <to>
                <xdr:col>3</xdr:col>
                <xdr:colOff>1162050</xdr:colOff>
                <xdr:row>103</xdr:row>
                <xdr:rowOff>428625</xdr:rowOff>
              </to>
            </anchor>
          </objectPr>
        </oleObject>
      </mc:Choice>
      <mc:Fallback>
        <oleObject progId="AutoCAD.Drawing.24" shapeId="2253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METALIC - SẦN</vt:lpstr>
      <vt:lpstr>Viralwindow --DC</vt:lpstr>
      <vt:lpstr>TỒN KHO</vt:lpstr>
      <vt:lpstr>XUẤT KHO</vt:lpstr>
      <vt:lpstr>NHẬP KHO </vt:lpstr>
      <vt:lpstr>'TỒN KHO'!Print_Area</vt:lpstr>
      <vt:lpstr>'METALIC - SẦN'!Print_Titles</vt:lpstr>
      <vt:lpstr>'NHẬP KHO '!Print_Titles</vt:lpstr>
      <vt:lpstr>'TỒN KHO'!Print_Titles</vt:lpstr>
      <vt:lpstr>'Viralwindow --DC'!Print_Titles</vt:lpstr>
      <vt:lpstr>'XUẤT KHO'!Print_Titles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HOME</cp:lastModifiedBy>
  <cp:lastPrinted>2025-11-18T07:47:52Z</cp:lastPrinted>
  <dcterms:created xsi:type="dcterms:W3CDTF">2020-10-03T02:59:52Z</dcterms:created>
  <dcterms:modified xsi:type="dcterms:W3CDTF">2025-12-10T09:27:48Z</dcterms:modified>
</cp:coreProperties>
</file>