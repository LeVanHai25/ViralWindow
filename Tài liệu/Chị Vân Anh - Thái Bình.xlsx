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OME\Desktop\CT - Chị Vân Nam Định\"/>
    </mc:Choice>
  </mc:AlternateContent>
  <bookViews>
    <workbookView xWindow="0" yWindow="0" windowWidth="28800" windowHeight="12435" firstSheet="1" activeTab="7"/>
  </bookViews>
  <sheets>
    <sheet name="foxz" sheetId="15" state="veryHidden" r:id="rId1"/>
    <sheet name="NHÔM_L1" sheetId="67" r:id="rId2"/>
    <sheet name="VTP_L1" sheetId="62" r:id="rId3"/>
    <sheet name="PK_L1 " sheetId="66" r:id="rId4"/>
    <sheet name="KH CT VÂN ANH " sheetId="64" r:id="rId5"/>
    <sheet name="KD_VÂN ANH " sheetId="63" r:id="rId6"/>
    <sheet name="NHÔM_L2" sheetId="61" r:id="rId7"/>
    <sheet name="PK_L2 " sheetId="56" r:id="rId8"/>
    <sheet name="PHIỄU XUÂT KHO " sheetId="59" r:id="rId9"/>
  </sheets>
  <externalReferences>
    <externalReference r:id="rId10"/>
  </externalReferences>
  <definedNames>
    <definedName name="_xlnm.Print_Titles" localSheetId="1">NHÔM_L1!$8:$8</definedName>
    <definedName name="_xlnm.Print_Titles" localSheetId="6">NHÔM_L2!$8:$8</definedName>
  </definedNames>
  <calcPr calcId="162913"/>
</workbook>
</file>

<file path=xl/calcChain.xml><?xml version="1.0" encoding="utf-8"?>
<calcChain xmlns="http://schemas.openxmlformats.org/spreadsheetml/2006/main">
  <c r="G40" i="61" l="1"/>
  <c r="F20" i="67" l="1"/>
  <c r="G19" i="67"/>
  <c r="G18" i="67"/>
  <c r="G17" i="67"/>
  <c r="G16" i="67"/>
  <c r="G15" i="67"/>
  <c r="G14" i="67"/>
  <c r="G13" i="67"/>
  <c r="G12" i="67"/>
  <c r="G11" i="67"/>
  <c r="G10" i="67"/>
  <c r="G9" i="67"/>
  <c r="C40" i="66"/>
  <c r="C39" i="66"/>
  <c r="C38" i="66"/>
  <c r="C37" i="66"/>
  <c r="C36" i="66"/>
  <c r="C35" i="66"/>
  <c r="C34" i="66"/>
  <c r="C32" i="66"/>
  <c r="C31" i="66"/>
  <c r="C30" i="66"/>
  <c r="C29" i="66"/>
  <c r="C28" i="66"/>
  <c r="C27" i="66"/>
  <c r="C26" i="66"/>
  <c r="C25" i="66"/>
  <c r="C24" i="66"/>
  <c r="C23" i="66"/>
  <c r="C22" i="66"/>
  <c r="C21" i="66"/>
  <c r="C19" i="66"/>
  <c r="C18" i="66"/>
  <c r="C17" i="66"/>
  <c r="C16" i="66"/>
  <c r="C15" i="66"/>
  <c r="C14" i="66"/>
  <c r="C13" i="66"/>
  <c r="C12" i="66"/>
  <c r="C11" i="66"/>
  <c r="G20" i="67" l="1"/>
  <c r="E15" i="62"/>
  <c r="E11" i="62" s="1"/>
  <c r="G23" i="64" l="1"/>
  <c r="H22" i="64"/>
  <c r="H21" i="64"/>
  <c r="H20" i="64"/>
  <c r="H19" i="64"/>
  <c r="H18" i="64"/>
  <c r="H17" i="64"/>
  <c r="H16" i="64"/>
  <c r="H15" i="64"/>
  <c r="H14" i="64"/>
  <c r="H13" i="64"/>
  <c r="H12" i="64"/>
  <c r="H11" i="64"/>
  <c r="H10" i="64"/>
  <c r="H23" i="64" l="1"/>
  <c r="C35" i="56"/>
  <c r="C32" i="56"/>
  <c r="C31" i="56"/>
  <c r="C30" i="56"/>
  <c r="C27" i="56"/>
  <c r="C26" i="56"/>
  <c r="C25" i="56"/>
  <c r="C24" i="56"/>
  <c r="C21" i="56"/>
  <c r="C20" i="56"/>
  <c r="C19" i="56"/>
  <c r="C18" i="56"/>
  <c r="C15" i="56"/>
  <c r="C14" i="56"/>
  <c r="C13" i="56"/>
  <c r="C12" i="56"/>
  <c r="C11" i="56"/>
  <c r="G39" i="61" l="1"/>
  <c r="G31" i="61"/>
  <c r="G32" i="61"/>
  <c r="G33" i="61"/>
  <c r="G34" i="61"/>
  <c r="G35" i="61"/>
  <c r="G36" i="61"/>
  <c r="G37" i="61"/>
  <c r="G38" i="61"/>
  <c r="G30" i="61"/>
  <c r="G29" i="61"/>
  <c r="G28" i="61"/>
  <c r="G27" i="61"/>
  <c r="G26" i="61"/>
  <c r="G25" i="61"/>
  <c r="G24" i="61"/>
  <c r="G21" i="61"/>
  <c r="F23" i="61"/>
  <c r="G23" i="61" s="1"/>
  <c r="G22" i="61"/>
  <c r="G20" i="61"/>
  <c r="G19" i="61"/>
  <c r="G18" i="61"/>
  <c r="G17" i="61"/>
  <c r="G16" i="61" l="1"/>
  <c r="G15" i="61"/>
  <c r="G14" i="61"/>
  <c r="G13" i="61"/>
  <c r="G12" i="61"/>
  <c r="G11" i="61"/>
  <c r="G10" i="61"/>
  <c r="G9" i="61"/>
  <c r="H10" i="63" l="1"/>
  <c r="H11" i="63"/>
  <c r="H12" i="63"/>
  <c r="H13" i="63"/>
  <c r="H14" i="63"/>
  <c r="H15" i="63"/>
  <c r="H16" i="63"/>
  <c r="H17" i="63"/>
  <c r="H18" i="63"/>
  <c r="H19" i="63"/>
  <c r="H20" i="63"/>
  <c r="H21" i="63"/>
  <c r="H22" i="63"/>
  <c r="H23" i="63"/>
  <c r="H24" i="63"/>
  <c r="H25" i="63"/>
  <c r="H26" i="63"/>
  <c r="H27" i="63"/>
  <c r="H28" i="63"/>
  <c r="H29" i="63"/>
  <c r="H30" i="63"/>
  <c r="H31" i="63"/>
  <c r="H32" i="63"/>
  <c r="H33" i="63"/>
  <c r="H34" i="63"/>
  <c r="H35" i="63"/>
  <c r="H36" i="63"/>
  <c r="H37" i="63"/>
  <c r="H38" i="63"/>
  <c r="G38" i="63"/>
  <c r="G22" i="59" l="1"/>
  <c r="H22" i="59"/>
</calcChain>
</file>

<file path=xl/sharedStrings.xml><?xml version="1.0" encoding="utf-8"?>
<sst xmlns="http://schemas.openxmlformats.org/spreadsheetml/2006/main" count="555" uniqueCount="264">
  <si>
    <t>TT</t>
  </si>
  <si>
    <t>Tên vật tư</t>
  </si>
  <si>
    <t>Đơn vị</t>
  </si>
  <si>
    <t>Số lượng</t>
  </si>
  <si>
    <t xml:space="preserve">  PHIẾU YÊU CẦU VẬT TƯ- PHỤ KIỆN</t>
  </si>
  <si>
    <t xml:space="preserve">Khối lượng </t>
  </si>
  <si>
    <t xml:space="preserve">Tỷ trọng </t>
  </si>
  <si>
    <t xml:space="preserve">Mã vật tư </t>
  </si>
  <si>
    <r>
      <t xml:space="preserve">Màu sắc </t>
    </r>
    <r>
      <rPr>
        <sz val="12"/>
        <color indexed="8"/>
        <rFont val="Times New Roman"/>
        <family val="1"/>
      </rPr>
      <t xml:space="preserve">: </t>
    </r>
    <r>
      <rPr>
        <sz val="12"/>
        <color rgb="FFFF0000"/>
        <rFont val="Times New Roman"/>
        <family val="1"/>
      </rPr>
      <t xml:space="preserve">Bạc  </t>
    </r>
  </si>
  <si>
    <t>Mã VT</t>
  </si>
  <si>
    <t>TỔNG</t>
  </si>
  <si>
    <t xml:space="preserve">        Người lập            Kiểm tra            Kế toán             Vật tư               Người nhận              Duyệt</t>
  </si>
  <si>
    <t xml:space="preserve">       (Ký, họ tên)             (Ký, họ tên)           (Ký, họ tên)          (Ký, họ tên)             (Ký, họ tên)               (Ký, họ tên)  </t>
  </si>
  <si>
    <r>
      <t xml:space="preserve">Mã Đơn Hàng </t>
    </r>
    <r>
      <rPr>
        <sz val="12"/>
        <color indexed="8"/>
        <rFont val="Times New Roman"/>
        <family val="1"/>
      </rPr>
      <t xml:space="preserve">:  </t>
    </r>
  </si>
  <si>
    <t xml:space="preserve">  PHIẾU YÊU CẦU VẬT TƯ KÍNH </t>
  </si>
  <si>
    <t xml:space="preserve">Mã Kính </t>
  </si>
  <si>
    <t xml:space="preserve">Loại kính </t>
  </si>
  <si>
    <t xml:space="preserve">Chiều rộng </t>
  </si>
  <si>
    <t>Chiều cao</t>
  </si>
  <si>
    <t>ĐVT</t>
  </si>
  <si>
    <t xml:space="preserve">Diện tích </t>
  </si>
  <si>
    <t xml:space="preserve">  Người lập            Kiểm tra            Kế toán             Vật tư               Người nhận              Duyệt</t>
  </si>
  <si>
    <t xml:space="preserve"> (Ký, họ tên)             (Ký, họ tên)           (Ký, họ tên)          (Ký, họ tên)             (Ký, họ tên)               (Ký, họ tên)  </t>
  </si>
  <si>
    <t xml:space="preserve">Số tấm </t>
  </si>
  <si>
    <t>CÔNG TY CỔ PHẦN VIRALWINDOW</t>
  </si>
  <si>
    <t>Nhà máy: KM 03, Đường Cienco5, KĐT Thanh Hà, Hà Đông, Hà Nội</t>
  </si>
  <si>
    <t>Hotline: 1800 282839</t>
  </si>
  <si>
    <t>Email:  viralwindow.vn@gmail.com</t>
  </si>
  <si>
    <t>Website: viralwindow.vn</t>
  </si>
  <si>
    <t>PHIẾU XUẤT KHO</t>
  </si>
  <si>
    <t xml:space="preserve">Đại lý:  </t>
  </si>
  <si>
    <t xml:space="preserve">Ký hiệu         : </t>
  </si>
  <si>
    <t xml:space="preserve">Số điện thoại: </t>
  </si>
  <si>
    <t>STT</t>
  </si>
  <si>
    <t>Mã hiệu</t>
  </si>
  <si>
    <t>Nội dung</t>
  </si>
  <si>
    <t>Kích thước</t>
  </si>
  <si>
    <t>Tổng số lượng</t>
  </si>
  <si>
    <t>Diện Tích</t>
  </si>
  <si>
    <t>Ghi chú</t>
  </si>
  <si>
    <t>Rộng (mm)</t>
  </si>
  <si>
    <t>Cao (mm)</t>
  </si>
  <si>
    <t xml:space="preserve"> CỘNG</t>
  </si>
  <si>
    <t xml:space="preserve">        Vận chuyển           Người kiểm hàng            Khách hàng               Kế toán               Người lập phiếu </t>
  </si>
  <si>
    <t xml:space="preserve"> </t>
  </si>
  <si>
    <r>
      <rPr>
        <b/>
        <sz val="11"/>
        <rFont val="Times New Roman"/>
        <family val="1"/>
      </rPr>
      <t>Xuất tại kho:</t>
    </r>
    <r>
      <rPr>
        <sz val="11"/>
        <rFont val="Times New Roman"/>
        <family val="1"/>
      </rPr>
      <t xml:space="preserve"> Công ty cổ phần Viralwindow ,Số 36 Đường Miền Đông Cự Khê Thanh Oai Hà Nội </t>
    </r>
  </si>
  <si>
    <r>
      <t xml:space="preserve">Mã Đơn Hàng </t>
    </r>
    <r>
      <rPr>
        <sz val="12"/>
        <color indexed="8"/>
        <rFont val="Times New Roman"/>
        <family val="1"/>
      </rPr>
      <t>:</t>
    </r>
  </si>
  <si>
    <t xml:space="preserve">NCC </t>
  </si>
  <si>
    <t>Chủng loại phụ kiện :</t>
  </si>
  <si>
    <t xml:space="preserve">Ghi chú </t>
  </si>
  <si>
    <t xml:space="preserve">TỔNG CỘNG </t>
  </si>
  <si>
    <t xml:space="preserve">  PHIẾU YÊU CẦU VẬT TƯ</t>
  </si>
  <si>
    <r>
      <t xml:space="preserve">Màu sắc </t>
    </r>
    <r>
      <rPr>
        <sz val="12"/>
        <color indexed="8"/>
        <rFont val="Times New Roman"/>
        <family val="1"/>
      </rPr>
      <t xml:space="preserve">: </t>
    </r>
  </si>
  <si>
    <r>
      <t xml:space="preserve">Màu sắc </t>
    </r>
    <r>
      <rPr>
        <sz val="12"/>
        <color indexed="8"/>
        <rFont val="Times New Roman"/>
        <family val="1"/>
      </rPr>
      <t>:</t>
    </r>
  </si>
  <si>
    <t>cây</t>
  </si>
  <si>
    <r>
      <t xml:space="preserve">Địa chỉ giao hàng </t>
    </r>
    <r>
      <rPr>
        <sz val="12"/>
        <color indexed="8"/>
        <rFont val="Times New Roman"/>
        <family val="1"/>
      </rPr>
      <t xml:space="preserve">:  </t>
    </r>
  </si>
  <si>
    <r>
      <t>Chủng loại phụ kiện :</t>
    </r>
    <r>
      <rPr>
        <sz val="12"/>
        <color indexed="8"/>
        <rFont val="Times New Roman"/>
        <family val="1"/>
      </rPr>
      <t xml:space="preserve"> </t>
    </r>
  </si>
  <si>
    <t>BỘ</t>
  </si>
  <si>
    <t>bộ</t>
  </si>
  <si>
    <t xml:space="preserve">  PHIẾU YÊU CẦU VẬT TƯ- PHỤ KIỆN ĐI CÔNG TRÌNH </t>
  </si>
  <si>
    <r>
      <rPr>
        <b/>
        <sz val="11"/>
        <rFont val="Times New Roman"/>
        <family val="1"/>
      </rPr>
      <t>Lý do xuất   :</t>
    </r>
    <r>
      <rPr>
        <sz val="11"/>
        <rFont val="Times New Roman"/>
        <family val="1"/>
      </rPr>
      <t xml:space="preserve"> Xuất trả hàng </t>
    </r>
  </si>
  <si>
    <t xml:space="preserve">Chủng loại phụ kiện : Viralwindow </t>
  </si>
  <si>
    <r>
      <t>Chủng loại phụ kiện :</t>
    </r>
    <r>
      <rPr>
        <sz val="12"/>
        <color indexed="8"/>
        <rFont val="Times New Roman"/>
        <family val="1"/>
      </rPr>
      <t xml:space="preserve"> Viral</t>
    </r>
  </si>
  <si>
    <r>
      <t xml:space="preserve">Địa chỉ giao hàng </t>
    </r>
    <r>
      <rPr>
        <sz val="12"/>
        <color indexed="8"/>
        <rFont val="Times New Roman"/>
        <family val="1"/>
      </rPr>
      <t xml:space="preserve">:  Tại xưởng sản xuất : 36 Đường Miền Đông, Cự Khê Thanh Oai Hà Nội </t>
    </r>
  </si>
  <si>
    <t xml:space="preserve">Thời điểm vận chuyển : </t>
  </si>
  <si>
    <t xml:space="preserve"> Ngày ..03..tháng ..12.. năm 2025</t>
  </si>
  <si>
    <r>
      <t xml:space="preserve">Địa chỉ giao hàng </t>
    </r>
    <r>
      <rPr>
        <sz val="12"/>
        <color indexed="8"/>
        <rFont val="Times New Roman"/>
        <family val="1"/>
      </rPr>
      <t xml:space="preserve">: 36 Đường Miền Đông, Cự Khê Thanh Oai Hà Nội - SDT : </t>
    </r>
  </si>
  <si>
    <t>C3318</t>
  </si>
  <si>
    <t>cặp</t>
  </si>
  <si>
    <t>VIRAL.TSVR2</t>
  </si>
  <si>
    <t>VIRAL.BANLEA14-22</t>
  </si>
  <si>
    <t>VIRAL.VITO10</t>
  </si>
  <si>
    <t>VIRAL.VITO11</t>
  </si>
  <si>
    <t>A070003</t>
  </si>
  <si>
    <t>A020055</t>
  </si>
  <si>
    <t>D100021</t>
  </si>
  <si>
    <t>VIRAL.1630FJS-16</t>
  </si>
  <si>
    <t xml:space="preserve">Khách hàng  : Anh Hiền - Đô Lương </t>
  </si>
  <si>
    <t xml:space="preserve">Địa chỉ          : Văn Sơn - Đô Lương - Nghệ An  </t>
  </si>
  <si>
    <t>Số: 00-VRT12</t>
  </si>
  <si>
    <t xml:space="preserve">                                         'Hà Nội, Ngày .. tháng  12 năm 2025</t>
  </si>
  <si>
    <t xml:space="preserve">Công trình : Ms Vân Anh - Thái Bình </t>
  </si>
  <si>
    <t xml:space="preserve">KH 5CL-9A-8.38 mm Solar control BD03 </t>
  </si>
  <si>
    <t xml:space="preserve">tấm </t>
  </si>
  <si>
    <t>DK1T1-Ms Vân Anh TB</t>
  </si>
  <si>
    <t xml:space="preserve">DK2T1-Ms Vân Anh TB </t>
  </si>
  <si>
    <t xml:space="preserve">DK3T1-Ms Vân Anh TB </t>
  </si>
  <si>
    <t xml:space="preserve">8.38 mm trắng trong </t>
  </si>
  <si>
    <t xml:space="preserve">S1T1-Ms Vân Anh TB </t>
  </si>
  <si>
    <t xml:space="preserve">6.38 mm trắng trong </t>
  </si>
  <si>
    <t xml:space="preserve">S2T1-Ms Vân Anh TB </t>
  </si>
  <si>
    <t xml:space="preserve">S3T1-Ms Vân Anh TB </t>
  </si>
  <si>
    <t xml:space="preserve">S4T1-Ms Vân Anh TB </t>
  </si>
  <si>
    <t xml:space="preserve">DK2.1T2-Ms Vân Anh TB </t>
  </si>
  <si>
    <t xml:space="preserve">W2.1T2-Ms Vân Anh TB </t>
  </si>
  <si>
    <t xml:space="preserve">KH 5CL Phun cát -9A-8.38 mm Solar control BD03 </t>
  </si>
  <si>
    <t xml:space="preserve">W2.2T2-Ms Vân Anh TB </t>
  </si>
  <si>
    <t xml:space="preserve">W2.3T2-Ms Vân Anh TB </t>
  </si>
  <si>
    <t xml:space="preserve">S1T2-Ms Vân Anh TB </t>
  </si>
  <si>
    <t xml:space="preserve">S2T2-Ms Vân Anh TB </t>
  </si>
  <si>
    <t xml:space="preserve">SCTT2-Ms Vân Anh TB </t>
  </si>
  <si>
    <t xml:space="preserve">DK3.1T3-Ms Vân Anh TB </t>
  </si>
  <si>
    <t xml:space="preserve">W3.2T3-Ms Vân Anh TB </t>
  </si>
  <si>
    <t xml:space="preserve">W3.3T3-Ms Vân Anh TB </t>
  </si>
  <si>
    <t xml:space="preserve">SCTT3-Ms Vân Anh TB </t>
  </si>
  <si>
    <t xml:space="preserve">          Hà Nội, Ngày 04 tháng 12 năm 2025</t>
  </si>
  <si>
    <r>
      <t xml:space="preserve">Công trình </t>
    </r>
    <r>
      <rPr>
        <sz val="12"/>
        <color indexed="8"/>
        <rFont val="Times New Roman"/>
        <family val="1"/>
      </rPr>
      <t xml:space="preserve">:Ms Vân Anh - Thái Bình </t>
    </r>
  </si>
  <si>
    <r>
      <t xml:space="preserve">Màu sắc </t>
    </r>
    <r>
      <rPr>
        <sz val="12"/>
        <color indexed="8"/>
        <rFont val="Times New Roman"/>
        <family val="1"/>
      </rPr>
      <t xml:space="preserve">:  Xám Sần Metalic  </t>
    </r>
  </si>
  <si>
    <t>C3209</t>
  </si>
  <si>
    <t>Khung bao vách 55</t>
  </si>
  <si>
    <t>Nẹp kính đơn vách</t>
  </si>
  <si>
    <t>C3295</t>
  </si>
  <si>
    <t>Nẹp kính hộp vách</t>
  </si>
  <si>
    <t>C3236</t>
  </si>
  <si>
    <t>Khung bao cửa sổ 55</t>
  </si>
  <si>
    <t xml:space="preserve">Đố T chia khung </t>
  </si>
  <si>
    <t>C3313</t>
  </si>
  <si>
    <t>Khung bao cửa đi 55</t>
  </si>
  <si>
    <t>C3328</t>
  </si>
  <si>
    <t>Cánh cửa đi mở quay mới VRA55</t>
  </si>
  <si>
    <t>VRA55-03</t>
  </si>
  <si>
    <t xml:space="preserve">Loại mới có khoang </t>
  </si>
  <si>
    <t xml:space="preserve">Tận dụng DC </t>
  </si>
  <si>
    <t xml:space="preserve">Đố động dùng chung </t>
  </si>
  <si>
    <t>C3323</t>
  </si>
  <si>
    <t xml:space="preserve">Đố T chia vách </t>
  </si>
  <si>
    <t>C3203</t>
  </si>
  <si>
    <t xml:space="preserve">Ngưỡng nhôm </t>
  </si>
  <si>
    <t>C3319</t>
  </si>
  <si>
    <t xml:space="preserve">Khung bao vách 65 </t>
  </si>
  <si>
    <t>Y6501</t>
  </si>
  <si>
    <t>Cánh cửa đi mở ngoài 65</t>
  </si>
  <si>
    <t>Y6503</t>
  </si>
  <si>
    <t xml:space="preserve">Nối khung </t>
  </si>
  <si>
    <t>Y6511</t>
  </si>
  <si>
    <t>Đố động dùng chung 65</t>
  </si>
  <si>
    <t>Y6507</t>
  </si>
  <si>
    <t>C6517</t>
  </si>
  <si>
    <t xml:space="preserve">Che chân </t>
  </si>
  <si>
    <t>C6518</t>
  </si>
  <si>
    <t xml:space="preserve">Đố T chi vách </t>
  </si>
  <si>
    <t>Y6506</t>
  </si>
  <si>
    <t xml:space="preserve">Nẹp kính hộp </t>
  </si>
  <si>
    <t>Y6513</t>
  </si>
  <si>
    <t xml:space="preserve">Khung bao lùa 120 </t>
  </si>
  <si>
    <t>YL12001</t>
  </si>
  <si>
    <t>Dẫn hướng trên 120</t>
  </si>
  <si>
    <t>YL12003</t>
  </si>
  <si>
    <t>Ôp khung bao đứng ngoài 120</t>
  </si>
  <si>
    <t>Ôp khung bao đứng trong 120</t>
  </si>
  <si>
    <t>YL12004</t>
  </si>
  <si>
    <t>YL12005</t>
  </si>
  <si>
    <t>Khung bao vách 120</t>
  </si>
  <si>
    <t>YL12009</t>
  </si>
  <si>
    <t>Cánh cửa lùa 120</t>
  </si>
  <si>
    <t>YL12006</t>
  </si>
  <si>
    <t>Ôp móc 120</t>
  </si>
  <si>
    <t>Hèm 4 cánh 120</t>
  </si>
  <si>
    <t>YL12008</t>
  </si>
  <si>
    <t>Đố T chia vách 120</t>
  </si>
  <si>
    <t>YL12010</t>
  </si>
  <si>
    <t>Khung bao đứng 180</t>
  </si>
  <si>
    <t>YL18001</t>
  </si>
  <si>
    <t>Nối dẫn hướng trên 180</t>
  </si>
  <si>
    <t>YL18004</t>
  </si>
  <si>
    <t>Nối ốp khung bao đứng trong 180</t>
  </si>
  <si>
    <t>YL18003</t>
  </si>
  <si>
    <t>Nối ốp khung bao đứng ngoài 180</t>
  </si>
  <si>
    <t>YL18007</t>
  </si>
  <si>
    <t xml:space="preserve">Khung bao 94 </t>
  </si>
  <si>
    <t>VRE94-01</t>
  </si>
  <si>
    <t>Cánh cửa lùa 94</t>
  </si>
  <si>
    <t>VRE94-02</t>
  </si>
  <si>
    <t>Dẫn hướng trên 94</t>
  </si>
  <si>
    <t>LINDT21</t>
  </si>
  <si>
    <t>Đón cánh bên 94</t>
  </si>
  <si>
    <t>LINH17</t>
  </si>
  <si>
    <t>Op khung bao 94</t>
  </si>
  <si>
    <t>VRE94-06</t>
  </si>
  <si>
    <t>Op móc 94</t>
  </si>
  <si>
    <t>VRE94-04</t>
  </si>
  <si>
    <t>Khung fix 94</t>
  </si>
  <si>
    <t>VRE94-05</t>
  </si>
  <si>
    <t xml:space="preserve">Khung bao 64 </t>
  </si>
  <si>
    <t>VRA64-01</t>
  </si>
  <si>
    <t>Cánh lùa 64</t>
  </si>
  <si>
    <t>VRA64-02</t>
  </si>
  <si>
    <t>Ôp móc 64</t>
  </si>
  <si>
    <t>VRA64-03</t>
  </si>
  <si>
    <t xml:space="preserve">Lumal </t>
  </si>
  <si>
    <t xml:space="preserve">CỬA ĐI MỞ QUAY 2 CÁNH : VRE 65 - MỞ NGOÀI </t>
  </si>
  <si>
    <t>VIRAL.TDVR2</t>
  </si>
  <si>
    <t>VIRAL.LC30/70</t>
  </si>
  <si>
    <t>VIRAL.TVRE65</t>
  </si>
  <si>
    <t>VIRAL.VITO7</t>
  </si>
  <si>
    <t>VIRAL.SKP04</t>
  </si>
  <si>
    <t>chiếc</t>
  </si>
  <si>
    <t>lõi</t>
  </si>
  <si>
    <t xml:space="preserve">( kèm vít ) </t>
  </si>
  <si>
    <t>túi</t>
  </si>
  <si>
    <t xml:space="preserve">CỬA ĐI MỞ QUAY 1 CÁNH : VRA 55 - MỞ NGOÀI </t>
  </si>
  <si>
    <t>VIRAL.SKH03-L</t>
  </si>
  <si>
    <t>VIRAL.TKDA8530</t>
  </si>
  <si>
    <t>VIRAL.TVRA50</t>
  </si>
  <si>
    <t>VIRAL.DLF09</t>
  </si>
  <si>
    <t>VIRAL.VITO1</t>
  </si>
  <si>
    <t>VIRAL.SKH03-R</t>
  </si>
  <si>
    <t>VIRAL.LC47.5/32.5</t>
  </si>
  <si>
    <t xml:space="preserve">CỬA ĐI MỞ QUAY 2 CÁNH : VRA 55 - MỞ NGOÀI </t>
  </si>
  <si>
    <t>VIRAL.TVRA55</t>
  </si>
  <si>
    <t>VIRAL.VITO2</t>
  </si>
  <si>
    <t xml:space="preserve">1 trục 65 + 2 vít tay nắm 65 - vina </t>
  </si>
  <si>
    <t>( kèm vít ) - vina</t>
  </si>
  <si>
    <t xml:space="preserve">CỬA ĐI MỞ LÙA 2 CÁNH : VRE 120 </t>
  </si>
  <si>
    <t>VIRAL.CL450</t>
  </si>
  <si>
    <t>Tay nắm cửa lùa 450</t>
  </si>
  <si>
    <t>VIRAL.PTDA8530</t>
  </si>
  <si>
    <t>VIRAL.NL</t>
  </si>
  <si>
    <t>VIRAL.FKD</t>
  </si>
  <si>
    <t>CỬA ĐI MỞ LÙA 6 CÁNH : VRE 180</t>
  </si>
  <si>
    <t>Tay nắm cửa lùa 450mm</t>
  </si>
  <si>
    <t>VIRAL.LC35/35</t>
  </si>
  <si>
    <t xml:space="preserve">CỬA SỔ MỞ HẤT 1 CÁNH : VRA 55 </t>
  </si>
  <si>
    <t>VIRAL.SSC10</t>
  </si>
  <si>
    <t>CỬA SỔ MỞ LÙA 2 CÁNH : VRA 64</t>
  </si>
  <si>
    <t>VIRAL.CDK</t>
  </si>
  <si>
    <t>VIRAL.BINH2</t>
  </si>
  <si>
    <t>CỬA SỔ MỞ LÙA 2 CÁNH : VRE 94</t>
  </si>
  <si>
    <t xml:space="preserve">          Hà Nội, Ngày  04 tháng 12 năm 2025</t>
  </si>
  <si>
    <r>
      <t xml:space="preserve">Công trình </t>
    </r>
    <r>
      <rPr>
        <sz val="12"/>
        <color indexed="8"/>
        <rFont val="Times New Roman"/>
        <family val="1"/>
      </rPr>
      <t xml:space="preserve">:  Ms Vân Anh </t>
    </r>
  </si>
  <si>
    <t>KE 14*52</t>
  </si>
  <si>
    <t>Ke tomahok khung vách</t>
  </si>
  <si>
    <t>cái</t>
  </si>
  <si>
    <t>KE TC 11</t>
  </si>
  <si>
    <t xml:space="preserve">Ke tăng cứng xingfa 11 </t>
  </si>
  <si>
    <t>KE 32*43</t>
  </si>
  <si>
    <t xml:space="preserve">Ke khung bao bao cửa đi </t>
  </si>
  <si>
    <t>KE 36*43</t>
  </si>
  <si>
    <t>Ke cánh cửa đi VRA</t>
  </si>
  <si>
    <t>Ke tomahok khung bao cửa sổ</t>
  </si>
  <si>
    <t>KE 14*43</t>
  </si>
  <si>
    <t>KE 25*43</t>
  </si>
  <si>
    <t xml:space="preserve">Ke tomahok cánh cửa sổ VRA </t>
  </si>
  <si>
    <t>GEDPM 2TP</t>
  </si>
  <si>
    <t xml:space="preserve">Gioang EDPM 2 thành phần </t>
  </si>
  <si>
    <t>cuộn</t>
  </si>
  <si>
    <t>KPU</t>
  </si>
  <si>
    <t xml:space="preserve">Keo Pu ép góc </t>
  </si>
  <si>
    <t>lọ</t>
  </si>
  <si>
    <r>
      <t xml:space="preserve">Công trình </t>
    </r>
    <r>
      <rPr>
        <sz val="12"/>
        <color indexed="8"/>
        <rFont val="Times New Roman"/>
        <family val="1"/>
      </rPr>
      <t xml:space="preserve">: L1 Ms Vân Anh Thái Bình </t>
    </r>
  </si>
  <si>
    <t xml:space="preserve">          Hà Nội, Ngày  13 tháng 12 năm 2025</t>
  </si>
  <si>
    <t xml:space="preserve"> Ngày ..13..tháng ..12.. năm 2025</t>
  </si>
  <si>
    <r>
      <t xml:space="preserve">Địa chỉ giao hàng </t>
    </r>
    <r>
      <rPr>
        <sz val="12"/>
        <color indexed="8"/>
        <rFont val="Times New Roman"/>
        <family val="1"/>
      </rPr>
      <t xml:space="preserve">:  Tại xưởng sản xuất : 36 Đường Miền Đông, Cự Khê Thanh Oai </t>
    </r>
  </si>
  <si>
    <r>
      <t xml:space="preserve">Công trình </t>
    </r>
    <r>
      <rPr>
        <sz val="12"/>
        <color indexed="8"/>
        <rFont val="Times New Roman"/>
        <family val="1"/>
      </rPr>
      <t xml:space="preserve">:L1  Ms Vân Anh </t>
    </r>
  </si>
  <si>
    <t>Cánh cửa sổ mở quay phẳng mặt</t>
  </si>
  <si>
    <t>MT3202A</t>
  </si>
  <si>
    <t xml:space="preserve">STD mang về </t>
  </si>
  <si>
    <t>Dmax</t>
  </si>
  <si>
    <t>ALUK</t>
  </si>
  <si>
    <t xml:space="preserve">kèm vít lõi khóa </t>
  </si>
  <si>
    <t>Vấu hàm cửa lùa bắt trên khung</t>
  </si>
  <si>
    <t>VHCL</t>
  </si>
  <si>
    <t>kiểm tra lắp lên cửa chưa - miệng xuất rời</t>
  </si>
  <si>
    <t xml:space="preserve">Cấp rời 2 vấu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</si>
</sst>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2">
    <numFmt numFmtId="41" formatCode="_(* #,##0_);_(* \(#,##0\);_(* &quot;-&quot;_);_(@_)"/>
    <numFmt numFmtId="43" formatCode="_(* #,##0.00_);_(* \(#,##0.00\);_(* &quot;-&quot;??_);_(@_)"/>
    <numFmt numFmtId="164" formatCode="_-* #,##0.00\ _₫_-;\-* #,##0.00\ _₫_-;_-* &quot;-&quot;??\ _₫_-;_-@_-"/>
    <numFmt numFmtId="165" formatCode="_(* #,##0_);_(* \(#,##0\);_(* &quot;-&quot;??_);_(@_)"/>
    <numFmt numFmtId="166" formatCode="#,##0.0;[Red]\-#,##0.0"/>
    <numFmt numFmtId="167" formatCode="&quot;\&quot;#,##0.00;[Red]&quot;\&quot;&quot;\&quot;&quot;\&quot;&quot;\&quot;&quot;\&quot;&quot;\&quot;\-#,##0.00"/>
    <numFmt numFmtId="168" formatCode="_-* #,##0\ _F_-;\-* #,##0\ _F_-;_-* &quot;-&quot;\ _F_-;_-@_-"/>
    <numFmt numFmtId="169" formatCode="&quot;\&quot;#,##0;[Red]&quot;\&quot;&quot;\&quot;\-#,##0"/>
    <numFmt numFmtId="170" formatCode="_ * #,##0.00_ ;_ * \-#,##0.00_ ;_ * &quot;-&quot;??_ ;_ @_ "/>
    <numFmt numFmtId="171" formatCode="_(&quot;Rp&quot;* #,##0_);_(&quot;Rp&quot;* \(#,##0\);_(&quot;Rp&quot;* &quot;-&quot;_);_(@_)"/>
    <numFmt numFmtId="172" formatCode="_(&quot;Rp&quot;* #,##0.00_);_(&quot;Rp&quot;* \(#,##0.00\);_(&quot;Rp&quot;* &quot;-&quot;??_);_(@_)"/>
    <numFmt numFmtId="173" formatCode="_-* #,##0_-;\-* #,##0_-;_-* &quot;-&quot;_-;_-@_-"/>
    <numFmt numFmtId="174" formatCode="&quot;\&quot;#,##0.00;[Red]&quot;\&quot;\-#,##0.00"/>
    <numFmt numFmtId="175" formatCode="_-&quot;Rp&quot;* #,##0_-;\-&quot;Rp&quot;* #,##0_-;_-&quot;Rp&quot;* &quot;-&quot;_-;_-@_-"/>
    <numFmt numFmtId="176" formatCode="_-* #,##0.00_-;\-* #,##0.00_-;_-* &quot;-&quot;??_-;_-@_-"/>
    <numFmt numFmtId="177" formatCode="&quot;\&quot;#,##0;[Red]&quot;\&quot;\-#,##0"/>
    <numFmt numFmtId="178" formatCode="_-&quot;Rp&quot;* #,##0.00_-;\-&quot;Rp&quot;* #,##0.00_-;_-&quot;Rp&quot;* &quot;-&quot;??_-;_-@_-"/>
    <numFmt numFmtId="179" formatCode="_-* #,##0&quot;Rp&quot;_-;_-* #,##0&quot;Rp&quot;\-;_-* &quot;-&quot;&quot;Rp&quot;_-;_-@_-"/>
    <numFmt numFmtId="180" formatCode="_-* #,##0\ &quot;F&quot;_-;\-* #,##0\ &quot;F&quot;_-;_-* &quot;-&quot;\ &quot;F&quot;_-;_-@_-"/>
    <numFmt numFmtId="181" formatCode="_-* #,##0\ &quot;Rp&quot;_-;\-* #,##0\ &quot;Rp&quot;_-;_-* &quot;-&quot;\ &quot;Rp&quot;_-;_-@_-"/>
    <numFmt numFmtId="182" formatCode="_-&quot;ñ&quot;* #,##0_-;\-&quot;ñ&quot;* #,##0_-;_-&quot;ñ&quot;* &quot;-&quot;_-;_-@_-"/>
    <numFmt numFmtId="183" formatCode="_-* #,##0.00_$_-;_-* #,##0.00_$\-;_-* &quot;-&quot;??_$_-;_-@_-"/>
    <numFmt numFmtId="184" formatCode="_-* #,##0.00\ _V_N_D_-;\-* #,##0.00\ _V_N_D_-;_-* &quot;-&quot;??\ _V_N_D_-;_-@_-"/>
    <numFmt numFmtId="185" formatCode="_-* #,##0.00\ _F_-;\-* #,##0.00\ _F_-;_-* &quot;-&quot;??\ _F_-;_-@_-"/>
    <numFmt numFmtId="186" formatCode="_-* #,##0.00\ _V_N_Ñ_-;_-* #,##0.00\ _V_N_Ñ\-;_-* &quot;-&quot;??\ _V_N_Ñ_-;_-@_-"/>
    <numFmt numFmtId="187" formatCode="_-* #,##0.00\ _ñ_-;\-* #,##0.00\ _ñ_-;_-* &quot;-&quot;??\ _ñ_-;_-@_-"/>
    <numFmt numFmtId="188" formatCode="_(&quot;Rp&quot;\ * #,##0_);_(&quot;Rp&quot;\ * \(#,##0\);_(&quot;Rp&quot;\ * &quot;-&quot;_);_(@_)"/>
    <numFmt numFmtId="189" formatCode="_-* #,##0\ &quot;ñ&quot;_-;\-* #,##0\ &quot;ñ&quot;_-;_-* &quot;-&quot;\ &quot;ñ&quot;_-;_-@_-"/>
    <numFmt numFmtId="190" formatCode="_-* #,##0_$_-;_-* #,##0_$\-;_-* &quot;-&quot;_$_-;_-@_-"/>
    <numFmt numFmtId="191" formatCode="_ * #,##0_ ;_ * \-#,##0_ ;_ * &quot;-&quot;_ ;_ @_ "/>
    <numFmt numFmtId="192" formatCode="_-* #,##0\ _V_N_D_-;\-* #,##0\ _V_N_D_-;_-* &quot;-&quot;\ _V_N_D_-;_-@_-"/>
    <numFmt numFmtId="193" formatCode="_-* #,##0\ _V_N_Ñ_-;_-* #,##0\ _V_N_Ñ\-;_-* &quot;-&quot;\ _V_N_Ñ_-;_-@_-"/>
    <numFmt numFmtId="194" formatCode="_-* #,##0\ _$_-;\-* #,##0\ _$_-;_-* &quot;-&quot;\ _$_-;_-@_-"/>
    <numFmt numFmtId="195" formatCode="_-* #,##0\ _ñ_-;\-* #,##0\ _ñ_-;_-* &quot;-&quot;\ _ñ_-;_-@_-"/>
    <numFmt numFmtId="196" formatCode="_-* #,##0\ _B_F_-;\-* #,##0\ _B_F_-;_-* &quot;-&quot;\ _B_F_-;_-@_-"/>
    <numFmt numFmtId="197" formatCode="0%;\(0%\)"/>
    <numFmt numFmtId="198" formatCode="0.0%"/>
    <numFmt numFmtId="199" formatCode="&quot;SFr.&quot;\ #,##0.00;[Red]&quot;SFr.&quot;\ \-#,##0.00"/>
    <numFmt numFmtId="200" formatCode="_ &quot;SFr.&quot;\ * #,##0_ ;_ &quot;SFr.&quot;\ * \-#,##0_ ;_ &quot;SFr.&quot;\ * &quot;-&quot;_ ;_ @_ "/>
    <numFmt numFmtId="201" formatCode="_ &quot;\&quot;* #,##0.00_ ;_ &quot;\&quot;* \-#,##0.00_ ;_ &quot;\&quot;* &quot;-&quot;??_ ;_ @_ "/>
    <numFmt numFmtId="202" formatCode="#,##0.0"/>
    <numFmt numFmtId="203" formatCode="#,##0.0_);\(#,##0.0\)"/>
    <numFmt numFmtId="204" formatCode="_(* #,##0.0000_);_(* \(#,##0.0000\);_(* &quot;-&quot;??_);_(@_)"/>
    <numFmt numFmtId="205" formatCode="0.0%;[Red]\(0.0%\)"/>
    <numFmt numFmtId="206" formatCode="_ * #,##0.00_)&quot;£&quot;_ ;_ * \(#,##0.00\)&quot;£&quot;_ ;_ * &quot;-&quot;??_)&quot;£&quot;_ ;_ @_ "/>
    <numFmt numFmtId="207" formatCode="0.0%;\(0.0%\)"/>
    <numFmt numFmtId="208" formatCode="_-* #,##0.00\ &quot;F&quot;_-;\-* #,##0.00\ &quot;F&quot;_-;_-* &quot;-&quot;??\ &quot;F&quot;_-;_-@_-"/>
    <numFmt numFmtId="209" formatCode="0.000_)"/>
    <numFmt numFmtId="210" formatCode="#,##0;\(#,##0\)"/>
    <numFmt numFmtId="211" formatCode="&quot;Rp&quot;#,##0_);\(&quot;Rp&quot;#,##0\)"/>
    <numFmt numFmtId="212" formatCode="&quot;Rp&quot;#,##0.00_);\(&quot;Rp&quot;#,##0.00\)"/>
    <numFmt numFmtId="213" formatCode="\$#,##0\ ;\(\$#,##0\)"/>
    <numFmt numFmtId="214" formatCode="\t0.00%"/>
    <numFmt numFmtId="215" formatCode="\U\S\$#,##0.00;\(\U\S\$#,##0.00\)"/>
    <numFmt numFmtId="216" formatCode="_-* #,##0\ _D_M_-;\-* #,##0\ _D_M_-;_-* &quot;-&quot;\ _D_M_-;_-@_-"/>
    <numFmt numFmtId="217" formatCode="_-* #,##0.00\ _D_M_-;\-* #,##0.00\ _D_M_-;_-* &quot;-&quot;??\ _D_M_-;_-@_-"/>
    <numFmt numFmtId="218" formatCode="\t#\ ??/??"/>
    <numFmt numFmtId="219" formatCode="_([$€-2]* #,##0.00_);_([$€-2]* \(#,##0.00\);_([$€-2]* &quot;-&quot;??_)"/>
    <numFmt numFmtId="220" formatCode="#,##0;\(#,##0\);&quot;-&quot;"/>
    <numFmt numFmtId="221" formatCode="0."/>
    <numFmt numFmtId="222" formatCode="_(* #,##0.000000_);_(* \(#,##0.000000\);_(* &quot;-&quot;??_);_(@_)"/>
    <numFmt numFmtId="223" formatCode=";;;"/>
    <numFmt numFmtId="224" formatCode="#,###"/>
    <numFmt numFmtId="225" formatCode="#,##0\ &quot;Rp&quot;_);[Red]\(#,##0\ &quot;Rp&quot;\)"/>
    <numFmt numFmtId="226" formatCode="&quot;Rp&quot;###,0&quot;.&quot;00_);[Red]\(&quot;Rp&quot;###,0&quot;.&quot;00\)"/>
    <numFmt numFmtId="227" formatCode="&quot;\&quot;#,##0;[Red]\-&quot;\&quot;#,##0"/>
    <numFmt numFmtId="228" formatCode="&quot;\&quot;#,##0.00;\-&quot;\&quot;#,##0.00"/>
    <numFmt numFmtId="229" formatCode="*x"/>
    <numFmt numFmtId="230" formatCode="0.00_)"/>
    <numFmt numFmtId="231" formatCode="_-* #,##0.00\ _m_k_-;\-* #,##0.00\ _m_k_-;_-* &quot;-&quot;??\ _m_k_-;_-@_-"/>
    <numFmt numFmtId="232" formatCode="_-* #,##0\ _m_k_-;\-* #,##0\ _m_k_-;_-* &quot;-&quot;\ _m_k_-;_-@_-"/>
    <numFmt numFmtId="233" formatCode="#,##0.000_);\(#,##0.000\)"/>
    <numFmt numFmtId="234" formatCode="###0.00000000_);[Red]\(###0.00000000\)"/>
    <numFmt numFmtId="235" formatCode="_-* #,##0\ _€_-;\-* #,##0\ _€_-;_-* &quot;-&quot;\ _€_-;_-@_-"/>
    <numFmt numFmtId="236" formatCode="_ * #,##0_-_V_N_Ñ_ ;_ * #,##0\-_V_N_Ñ_ ;_ * &quot;-&quot;_-_V_N_Ñ_ ;_ @_ "/>
    <numFmt numFmtId="237" formatCode="_ * #,##0_)\ _$_ ;_ * \(#,##0\)\ _$_ ;_ * &quot;-&quot;_)\ _$_ ;_ @_ "/>
    <numFmt numFmtId="238" formatCode="_-* #,##0\ &quot;€&quot;_-;\-* #,##0\ &quot;€&quot;_-;_-* &quot;-&quot;\ &quot;€&quot;_-;_-@_-"/>
    <numFmt numFmtId="239" formatCode="_ * #,##0_)\ &quot;Rp&quot;_ ;_ * \(#,##0\)\ &quot;Rp&quot;_ ;_ * &quot;-&quot;_)\ &quot;Rp&quot;_ ;_ @_ "/>
    <numFmt numFmtId="240" formatCode="_ * #,##0_)\ &quot;€&quot;_ ;_ * \(#,##0\)\ &quot;€&quot;_ ;_ * &quot;-&quot;_)\ &quot;€&quot;_ ;_ @_ "/>
    <numFmt numFmtId="241" formatCode="_(&quot;€&quot;\ * #,##0_);_(&quot;€&quot;\ * \(#,##0\);_(&quot;€&quot;\ * &quot;-&quot;_);_(@_)"/>
    <numFmt numFmtId="242" formatCode="#,##0.00\ &quot;F&quot;;[Red]\-#,##0.00\ &quot;F&quot;"/>
    <numFmt numFmtId="243" formatCode="&quot;£&quot;#,##0;[Red]\-&quot;£&quot;#,##0"/>
    <numFmt numFmtId="244" formatCode="#,##0\ &quot;F&quot;;\-#,##0\ &quot;F&quot;"/>
    <numFmt numFmtId="245" formatCode="#,##0\ &quot;F&quot;;[Red]\-#,##0\ &quot;F&quot;"/>
    <numFmt numFmtId="246" formatCode="0000"/>
    <numFmt numFmtId="247" formatCode="00"/>
    <numFmt numFmtId="248" formatCode="000"/>
    <numFmt numFmtId="249" formatCode="#,##0.00\ &quot;F&quot;;\-#,##0.00\ &quot;F&quot;"/>
    <numFmt numFmtId="250" formatCode="&quot;Rp&quot;#,##0_);[Red]\(&quot;Rp&quot;#,##0\)"/>
    <numFmt numFmtId="251" formatCode="_-* #,##0\ &quot;DM&quot;_-;\-* #,##0\ &quot;DM&quot;_-;_-* &quot;-&quot;\ &quot;DM&quot;_-;_-@_-"/>
    <numFmt numFmtId="252" formatCode="_-* #,##0.00\ &quot;DM&quot;_-;\-* #,##0.00\ &quot;DM&quot;_-;_-* &quot;-&quot;??\ &quot;DM&quot;_-;_-@_-"/>
    <numFmt numFmtId="253" formatCode="&quot;\&quot;#,##0;&quot;\&quot;&quot;\&quot;&quot;\&quot;&quot;\&quot;\-#,##0"/>
    <numFmt numFmtId="254" formatCode="#,##0;[Red]&quot;-&quot;#,##0"/>
    <numFmt numFmtId="255" formatCode="&quot;\&quot;#,##0;[Red]&quot;\&quot;&quot;\&quot;&quot;\&quot;&quot;\&quot;\-#,##0"/>
    <numFmt numFmtId="256" formatCode="0.00000"/>
    <numFmt numFmtId="257" formatCode="#,##0.0_ "/>
    <numFmt numFmtId="258" formatCode="&quot;\&quot;#,##0.00;&quot;\&quot;&quot;\&quot;&quot;\&quot;&quot;\&quot;\-#,##0.00"/>
    <numFmt numFmtId="259" formatCode="#,##0.00_ "/>
    <numFmt numFmtId="260" formatCode="#,##0_ "/>
    <numFmt numFmtId="261" formatCode="_-* #,##0\ _€_-;\-* #,##0\ _€_-;_-* &quot;-&quot;??\ _€_-;_-@_-"/>
    <numFmt numFmtId="262" formatCode="_-* #,##0.0\ _€_-;\-* #,##0.0\ _€_-;_-* &quot;-&quot;??\ _€_-;_-@_-"/>
    <numFmt numFmtId="263" formatCode="_ * #,##0_ ;_ * \-#,##0_ ;_ * &quot;-&quot;??_ ;_ @_ "/>
  </numFmts>
  <fonts count="191">
    <font>
      <sz val="11"/>
      <color theme="1"/>
      <name val="Calibri"/>
      <family val="2"/>
      <scheme val="minor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2"/>
      <name val=".VnTime"/>
      <family val="2"/>
    </font>
    <font>
      <sz val="9"/>
      <name val="ﾀﾞｯﾁ"/>
      <family val="3"/>
      <charset val="128"/>
    </font>
    <font>
      <sz val="12"/>
      <name val="VNtimes new roman"/>
      <family val="2"/>
    </font>
    <font>
      <sz val="10"/>
      <name val="VNI-Times"/>
    </font>
    <font>
      <sz val="10"/>
      <name val=".VnArial"/>
      <family val="2"/>
    </font>
    <font>
      <sz val="16"/>
      <name val="AngsanaUPC"/>
      <family val="3"/>
    </font>
    <font>
      <sz val="12"/>
      <name val="????"/>
      <family val="1"/>
      <charset val="136"/>
    </font>
    <font>
      <sz val="11"/>
      <name val="??"/>
      <family val="3"/>
      <charset val="129"/>
    </font>
    <font>
      <sz val="12"/>
      <name val="???"/>
      <family val="1"/>
      <charset val="129"/>
    </font>
    <font>
      <sz val="12"/>
      <name val="|??¢¥¢¬¨Ï"/>
      <family val="1"/>
      <charset val="129"/>
    </font>
    <font>
      <sz val="12"/>
      <name val="__"/>
      <family val="1"/>
      <charset val="129"/>
    </font>
    <font>
      <sz val="14"/>
      <name val="__"/>
      <family val="3"/>
      <charset val="129"/>
    </font>
    <font>
      <sz val="12"/>
      <name val="___"/>
      <family val="1"/>
      <charset val="129"/>
    </font>
    <font>
      <sz val="12"/>
      <name val="____"/>
      <charset val="136"/>
    </font>
    <font>
      <sz val="10"/>
      <name val="___"/>
      <family val="3"/>
      <charset val="129"/>
    </font>
    <font>
      <sz val="12"/>
      <name val="___"/>
      <family val="3"/>
    </font>
    <font>
      <sz val="10"/>
      <name val="Helv"/>
      <family val="2"/>
    </font>
    <font>
      <sz val="10"/>
      <name val="MS Sans Serif"/>
      <family val="2"/>
    </font>
    <font>
      <sz val="10"/>
      <name val=".VnTime"/>
      <family val="2"/>
    </font>
    <font>
      <sz val="12"/>
      <name val="VNTime"/>
    </font>
    <font>
      <sz val="12"/>
      <name val="VNI-Times"/>
    </font>
    <font>
      <sz val="14"/>
      <name val="‚l‚r –¾’©"/>
      <family val="1"/>
      <charset val="128"/>
    </font>
    <font>
      <u/>
      <sz val="8.25"/>
      <color indexed="36"/>
      <name val="‚l‚r ‚oƒSƒVƒbƒN"/>
      <family val="3"/>
      <charset val="128"/>
    </font>
    <font>
      <sz val="14"/>
      <name val="lr ¾©"/>
      <family val="1"/>
      <charset val="128"/>
    </font>
    <font>
      <sz val="13"/>
      <name val="Tms Rmn"/>
      <family val="1"/>
    </font>
    <font>
      <b/>
      <u/>
      <sz val="14"/>
      <color indexed="8"/>
      <name val=".VnBook-AntiquaH"/>
      <family val="2"/>
    </font>
    <font>
      <sz val="10"/>
      <name val="VnTimes"/>
      <family val="2"/>
    </font>
    <font>
      <sz val="12"/>
      <color indexed="10"/>
      <name val=".VnArial Narrow"/>
      <family val="2"/>
    </font>
    <font>
      <sz val="12"/>
      <color indexed="8"/>
      <name val="¹ÙÅÁÃ¼"/>
      <family val="1"/>
      <charset val="129"/>
    </font>
    <font>
      <i/>
      <sz val="12"/>
      <color indexed="8"/>
      <name val=".VnBook-AntiquaH"/>
      <family val="2"/>
    </font>
    <font>
      <sz val="11"/>
      <color indexed="8"/>
      <name val="Calibri"/>
      <family val="2"/>
      <charset val="222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1"/>
      <color indexed="9"/>
      <name val="Calibri"/>
      <family val="2"/>
      <charset val="22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2"/>
      <name val="¹ÙÅÁÃ¼"/>
      <charset val="129"/>
    </font>
    <font>
      <sz val="9"/>
      <name val="ＭＳ ゴシック"/>
      <family val="3"/>
      <charset val="128"/>
    </font>
    <font>
      <sz val="8"/>
      <name val="Times New Roman"/>
      <family val="1"/>
    </font>
    <font>
      <sz val="12"/>
      <name val="Tms Rmn"/>
    </font>
    <font>
      <sz val="10"/>
      <name val="Times New Roman"/>
      <family val="1"/>
    </font>
    <font>
      <sz val="11"/>
      <name val="µ¸¿ò"/>
      <charset val="129"/>
    </font>
    <font>
      <sz val="10"/>
      <name val="Helv"/>
    </font>
    <font>
      <b/>
      <sz val="10"/>
      <name val="Helv"/>
    </font>
    <font>
      <b/>
      <sz val="13"/>
      <name val="Tms Rmn"/>
      <family val="1"/>
    </font>
    <font>
      <sz val="11"/>
      <name val="Tms Rmn"/>
    </font>
    <font>
      <sz val="11"/>
      <name val="VNI-Times"/>
    </font>
    <font>
      <sz val="10"/>
      <name val="MS Serif"/>
      <family val="1"/>
    </font>
    <font>
      <sz val="10"/>
      <name val="Courier"/>
      <family val="3"/>
    </font>
    <font>
      <sz val="10"/>
      <name val="VNI-Aptima"/>
    </font>
    <font>
      <sz val="10"/>
      <color indexed="8"/>
      <name val="Arial"/>
      <family val="2"/>
    </font>
    <font>
      <sz val="12"/>
      <name val="Arial"/>
      <family val="2"/>
    </font>
    <font>
      <sz val="12"/>
      <name val="Tms Rmn"/>
      <family val="1"/>
    </font>
    <font>
      <sz val="10"/>
      <color indexed="16"/>
      <name val="MS Serif"/>
      <family val="1"/>
    </font>
    <font>
      <sz val="8"/>
      <name val="Verdana"/>
      <family val="2"/>
    </font>
    <font>
      <b/>
      <sz val="16"/>
      <name val="Arial"/>
      <family val="2"/>
    </font>
    <font>
      <sz val="18"/>
      <color indexed="24"/>
      <name val="Times New Roman"/>
      <family val="1"/>
    </font>
    <font>
      <sz val="8"/>
      <color indexed="24"/>
      <name val="Times New Roman"/>
      <family val="1"/>
    </font>
    <font>
      <i/>
      <sz val="12"/>
      <color indexed="24"/>
      <name val="Times New Roman"/>
      <family val="1"/>
    </font>
    <font>
      <sz val="12"/>
      <color indexed="24"/>
      <name val="Arial"/>
      <family val="2"/>
    </font>
    <font>
      <sz val="12"/>
      <color indexed="24"/>
      <name val="Times New Roman"/>
      <family val="1"/>
    </font>
    <font>
      <sz val="8"/>
      <color indexed="24"/>
      <name val="Arial"/>
      <family val="2"/>
    </font>
    <font>
      <i/>
      <sz val="12"/>
      <color indexed="24"/>
      <name val="Arial"/>
      <family val="2"/>
    </font>
    <font>
      <u/>
      <sz val="8.25"/>
      <color indexed="12"/>
      <name val="‚l‚r ‚oƒSƒVƒbƒN"/>
      <family val="3"/>
      <charset val="128"/>
    </font>
    <font>
      <sz val="8"/>
      <name val="Arial"/>
      <family val="2"/>
    </font>
    <font>
      <b/>
      <sz val="12"/>
      <name val=".VnBook-AntiquaH"/>
      <family val="2"/>
    </font>
    <font>
      <b/>
      <sz val="12"/>
      <color indexed="9"/>
      <name val="Tms Rmn"/>
    </font>
    <font>
      <b/>
      <sz val="12"/>
      <name val="Helv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Tahoma"/>
      <family val="2"/>
    </font>
    <font>
      <b/>
      <sz val="8"/>
      <name val="MS Sans Serif"/>
      <family val="2"/>
    </font>
    <font>
      <b/>
      <sz val="10"/>
      <name val=".VnTime"/>
      <family val="2"/>
    </font>
    <font>
      <b/>
      <sz val="14"/>
      <name val=".VnTimeH"/>
      <family val="2"/>
    </font>
    <font>
      <sz val="10"/>
      <name val="Tahoma"/>
      <family val="2"/>
    </font>
    <font>
      <sz val="12"/>
      <name val="Helv"/>
    </font>
    <font>
      <sz val="12"/>
      <color indexed="9"/>
      <name val="Helv"/>
    </font>
    <font>
      <b/>
      <sz val="11"/>
      <name val="Helv"/>
    </font>
    <font>
      <sz val="10"/>
      <name val=".VnAvant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</font>
    <font>
      <sz val="12"/>
      <name val="바탕체"/>
      <family val="1"/>
      <charset val="129"/>
    </font>
    <font>
      <sz val="11"/>
      <name val="Arial MT"/>
    </font>
    <font>
      <sz val="14"/>
      <name val="System"/>
      <family val="2"/>
    </font>
    <font>
      <b/>
      <sz val="11"/>
      <name val="Arial"/>
      <family val="2"/>
    </font>
    <font>
      <sz val="13"/>
      <name val=".VnTime"/>
      <family val="2"/>
    </font>
    <font>
      <sz val="12"/>
      <color indexed="8"/>
      <name val="Times New Roman"/>
      <family val="1"/>
    </font>
    <font>
      <sz val="12"/>
      <name val="Helv"/>
      <family val="2"/>
    </font>
    <font>
      <sz val="10"/>
      <color indexed="9"/>
      <name val="Arial"/>
      <family val="2"/>
    </font>
    <font>
      <b/>
      <sz val="10"/>
      <name val="MS Sans Serif"/>
      <family val="2"/>
    </font>
    <font>
      <sz val="8"/>
      <name val="Wingdings"/>
      <charset val="2"/>
    </font>
    <font>
      <b/>
      <sz val="12"/>
      <color indexed="9"/>
      <name val="Arial"/>
      <family val="2"/>
    </font>
    <font>
      <b/>
      <sz val="12"/>
      <name val="宋体"/>
      <charset val="134"/>
    </font>
    <font>
      <sz val="8"/>
      <name val="MS Sans Serif"/>
      <family val="2"/>
    </font>
    <font>
      <sz val="11"/>
      <color indexed="32"/>
      <name val="VNI-Times"/>
    </font>
    <font>
      <b/>
      <sz val="14"/>
      <color indexed="8"/>
      <name val=".VnArial"/>
      <family val="2"/>
    </font>
    <font>
      <b/>
      <sz val="10"/>
      <color indexed="8"/>
      <name val="Tahoma"/>
      <family val="2"/>
    </font>
    <font>
      <b/>
      <sz val="12"/>
      <color indexed="8"/>
      <name val="Tahoma"/>
      <family val="2"/>
    </font>
    <font>
      <sz val="10"/>
      <color indexed="8"/>
      <name val=".VnArial"/>
      <family val="2"/>
    </font>
    <font>
      <b/>
      <i/>
      <sz val="10"/>
      <color indexed="8"/>
      <name val="Arial"/>
      <family val="2"/>
    </font>
    <font>
      <b/>
      <sz val="10"/>
      <name val="Tahoma"/>
      <family val="2"/>
    </font>
    <font>
      <b/>
      <sz val="8"/>
      <color indexed="8"/>
      <name val="Helv"/>
    </font>
    <font>
      <sz val="10"/>
      <name val="Symbol"/>
      <family val="1"/>
      <charset val="2"/>
    </font>
    <font>
      <sz val="14"/>
      <name val=".VnTime"/>
      <family val="2"/>
    </font>
    <font>
      <b/>
      <sz val="11"/>
      <name val="Times New Roman"/>
      <family val="1"/>
    </font>
    <font>
      <sz val="12"/>
      <name val="VNTime"/>
      <family val="2"/>
    </font>
    <font>
      <sz val="12"/>
      <name val=".VnArial"/>
      <family val="2"/>
    </font>
    <font>
      <sz val="10"/>
      <name val="VNtimes new roman"/>
      <family val="2"/>
    </font>
    <font>
      <b/>
      <sz val="8"/>
      <name val="VN Helvetica"/>
    </font>
    <font>
      <sz val="9"/>
      <name val=".VnTime"/>
      <family val="2"/>
    </font>
    <font>
      <b/>
      <sz val="12"/>
      <name val=".VnTime"/>
      <family val="2"/>
    </font>
    <font>
      <b/>
      <sz val="10"/>
      <name val="VN AvantGBook"/>
    </font>
    <font>
      <b/>
      <sz val="16"/>
      <name val=".VnTime"/>
      <family val="2"/>
    </font>
    <font>
      <sz val="14"/>
      <name val=".VnArial"/>
      <family val="2"/>
    </font>
    <font>
      <sz val="22"/>
      <name val="ＭＳ 明朝"/>
      <family val="1"/>
      <charset val="128"/>
    </font>
    <font>
      <b/>
      <sz val="11"/>
      <color indexed="9"/>
      <name val="Calibri"/>
      <family val="2"/>
      <charset val="222"/>
    </font>
    <font>
      <sz val="11"/>
      <color indexed="52"/>
      <name val="Calibri"/>
      <family val="2"/>
      <charset val="222"/>
    </font>
    <font>
      <sz val="11"/>
      <color indexed="20"/>
      <name val="Calibri"/>
      <family val="2"/>
      <charset val="222"/>
    </font>
    <font>
      <b/>
      <sz val="11"/>
      <color indexed="63"/>
      <name val="Calibri"/>
      <family val="2"/>
      <charset val="222"/>
    </font>
    <font>
      <b/>
      <sz val="11"/>
      <color indexed="52"/>
      <name val="Calibri"/>
      <family val="2"/>
      <charset val="222"/>
    </font>
    <font>
      <sz val="11"/>
      <color indexed="10"/>
      <name val="Calibri"/>
      <family val="2"/>
      <charset val="222"/>
    </font>
    <font>
      <i/>
      <sz val="11"/>
      <color indexed="23"/>
      <name val="Calibri"/>
      <family val="2"/>
      <charset val="222"/>
    </font>
    <font>
      <b/>
      <sz val="18"/>
      <color indexed="56"/>
      <name val="Cambria"/>
      <family val="2"/>
      <charset val="222"/>
    </font>
    <font>
      <sz val="11"/>
      <color indexed="17"/>
      <name val="Calibri"/>
      <family val="2"/>
      <charset val="222"/>
    </font>
    <font>
      <sz val="11"/>
      <color indexed="62"/>
      <name val="Calibri"/>
      <family val="2"/>
      <charset val="222"/>
    </font>
    <font>
      <sz val="11"/>
      <color indexed="60"/>
      <name val="Calibri"/>
      <family val="2"/>
      <charset val="222"/>
    </font>
    <font>
      <b/>
      <sz val="11"/>
      <color indexed="8"/>
      <name val="Calibri"/>
      <family val="2"/>
      <charset val="222"/>
    </font>
    <font>
      <sz val="14"/>
      <name val="Cordia New"/>
      <family val="2"/>
    </font>
    <font>
      <b/>
      <sz val="15"/>
      <color indexed="56"/>
      <name val="Calibri"/>
      <family val="2"/>
      <charset val="222"/>
    </font>
    <font>
      <b/>
      <sz val="13"/>
      <color indexed="56"/>
      <name val="Calibri"/>
      <family val="2"/>
      <charset val="222"/>
    </font>
    <font>
      <b/>
      <sz val="11"/>
      <color indexed="56"/>
      <name val="Calibri"/>
      <family val="2"/>
      <charset val="222"/>
    </font>
    <font>
      <sz val="10"/>
      <name val=" "/>
      <family val="1"/>
      <charset val="136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4"/>
      <name val="뼻뮝"/>
      <family val="3"/>
      <charset val="129"/>
    </font>
    <font>
      <sz val="12"/>
      <color indexed="8"/>
      <name val="바탕체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sz val="10"/>
      <name val="VNI-Centur"/>
      <family val="1"/>
    </font>
    <font>
      <sz val="12"/>
      <name val="굴림체"/>
      <family val="3"/>
      <charset val="129"/>
    </font>
    <font>
      <sz val="12"/>
      <name val="宋体"/>
      <family val="3"/>
      <charset val="134"/>
    </font>
    <font>
      <u/>
      <sz val="10"/>
      <color indexed="14"/>
      <name val="MS Sans Serif"/>
      <family val="2"/>
    </font>
    <font>
      <u/>
      <sz val="9"/>
      <color indexed="36"/>
      <name val="新細明體"/>
      <family val="1"/>
      <charset val="136"/>
    </font>
    <font>
      <sz val="12"/>
      <name val="新細明體"/>
      <family val="1"/>
      <charset val="136"/>
    </font>
    <font>
      <sz val="12"/>
      <name val="宋体"/>
      <charset val="134"/>
    </font>
    <font>
      <sz val="12"/>
      <name val="Courier"/>
      <family val="3"/>
    </font>
    <font>
      <u/>
      <sz val="10"/>
      <color indexed="12"/>
      <name val="MS Sans Serif"/>
      <family val="2"/>
    </font>
    <font>
      <u/>
      <sz val="9"/>
      <color indexed="12"/>
      <name val="新細明體"/>
      <family val="1"/>
      <charset val="136"/>
    </font>
    <font>
      <u/>
      <sz val="12"/>
      <color indexed="12"/>
      <name val="新細明體"/>
      <family val="1"/>
      <charset val="136"/>
    </font>
    <font>
      <u/>
      <sz val="12"/>
      <color indexed="36"/>
      <name val="新細明體"/>
      <family val="1"/>
      <charset val="136"/>
    </font>
    <font>
      <sz val="10"/>
      <name val="明朝"/>
      <family val="1"/>
      <charset val="128"/>
    </font>
    <font>
      <sz val="11"/>
      <color theme="1"/>
      <name val="Calibri"/>
      <family val="2"/>
      <charset val="163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b/>
      <sz val="12"/>
      <name val="Times New Roman"/>
      <family val="1"/>
    </font>
    <font>
      <sz val="10"/>
      <name val="Arial"/>
      <family val="2"/>
      <charset val="163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12"/>
      <name val="Times New Roman"/>
      <family val="1"/>
      <charset val="163"/>
    </font>
    <font>
      <b/>
      <sz val="10"/>
      <name val="Times New Roman"/>
      <family val="1"/>
    </font>
    <font>
      <sz val="10"/>
      <color theme="1"/>
      <name val="Calibri"/>
      <family val="2"/>
      <scheme val="minor"/>
    </font>
    <font>
      <sz val="10"/>
      <color indexed="8"/>
      <name val="Times New Roman"/>
      <family val="1"/>
    </font>
    <font>
      <sz val="11"/>
      <color theme="1"/>
      <name val="Calibri"/>
      <family val="2"/>
      <scheme val="minor"/>
    </font>
    <font>
      <i/>
      <sz val="12"/>
      <color indexed="8"/>
      <name val="Cambria"/>
      <family val="1"/>
    </font>
    <font>
      <sz val="10"/>
      <color theme="1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b/>
      <sz val="14"/>
      <name val="Times New Roman"/>
      <family val="1"/>
    </font>
    <font>
      <b/>
      <sz val="16"/>
      <name val="Times New Roman"/>
      <family val="1"/>
    </font>
    <font>
      <sz val="11"/>
      <name val="Times New Roman"/>
      <family val="1"/>
      <charset val="163"/>
    </font>
    <font>
      <sz val="12"/>
      <color rgb="FFFF0000"/>
      <name val="Times New Roman"/>
      <family val="1"/>
    </font>
    <font>
      <b/>
      <sz val="14"/>
      <color theme="1"/>
      <name val="Calibri"/>
      <family val="2"/>
      <scheme val="minor"/>
    </font>
    <font>
      <i/>
      <sz val="14"/>
      <color indexed="8"/>
      <name val="Cambria"/>
      <family val="1"/>
    </font>
    <font>
      <sz val="14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5"/>
      <name val="Times New Roman"/>
      <family val="1"/>
    </font>
    <font>
      <sz val="12"/>
      <color theme="1"/>
      <name val="Times New Roman"/>
      <family val="1"/>
    </font>
    <font>
      <b/>
      <i/>
      <sz val="12"/>
      <name val="Times New Roman"/>
      <family val="1"/>
    </font>
    <font>
      <sz val="11"/>
      <color rgb="FFFF0000"/>
      <name val="Times New Roman"/>
      <family val="1"/>
    </font>
  </fonts>
  <fills count="4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darkVertical"/>
    </fill>
    <fill>
      <patternFill patternType="solid">
        <fgColor indexed="63"/>
      </patternFill>
    </fill>
    <fill>
      <patternFill patternType="solid">
        <fgColor indexed="35"/>
        <bgColor indexed="64"/>
      </patternFill>
    </fill>
    <fill>
      <patternFill patternType="gray125">
        <fgColor indexed="35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1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0"/>
      </right>
      <top/>
      <bottom/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hair">
        <color indexed="44"/>
      </bottom>
      <diagonal/>
    </border>
    <border>
      <left/>
      <right/>
      <top style="hair">
        <color indexed="44"/>
      </top>
      <bottom style="hair">
        <color indexed="4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915">
    <xf numFmtId="0" fontId="0" fillId="0" borderId="0"/>
    <xf numFmtId="166" fontId="4" fillId="0" borderId="0" applyFont="0" applyFill="0" applyBorder="0" applyAlignment="0" applyProtection="0"/>
    <xf numFmtId="0" fontId="9" fillId="0" borderId="0" applyNumberForma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38" fontId="10" fillId="0" borderId="0" applyFont="0" applyFill="0" applyBorder="0" applyAlignment="0" applyProtection="0"/>
    <xf numFmtId="165" fontId="11" fillId="0" borderId="1" applyFont="0" applyBorder="0"/>
    <xf numFmtId="167" fontId="4" fillId="0" borderId="0" applyFont="0" applyFill="0" applyBorder="0" applyAlignment="0" applyProtection="0"/>
    <xf numFmtId="168" fontId="12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170" fontId="13" fillId="0" borderId="0" applyFont="0" applyFill="0" applyBorder="0" applyAlignment="0" applyProtection="0"/>
    <xf numFmtId="171" fontId="14" fillId="0" borderId="0" applyFont="0" applyFill="0" applyBorder="0" applyAlignment="0" applyProtection="0"/>
    <xf numFmtId="172" fontId="14" fillId="0" borderId="0" applyFont="0" applyFill="0" applyBorder="0" applyAlignment="0" applyProtection="0"/>
    <xf numFmtId="0" fontId="14" fillId="0" borderId="0"/>
    <xf numFmtId="173" fontId="15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8" fillId="0" borderId="0"/>
    <xf numFmtId="0" fontId="4" fillId="0" borderId="0" applyNumberFormat="0" applyFill="0" applyBorder="0" applyAlignment="0" applyProtection="0"/>
    <xf numFmtId="0" fontId="19" fillId="0" borderId="0"/>
    <xf numFmtId="0" fontId="20" fillId="0" borderId="0" applyFont="0" applyFill="0" applyBorder="0" applyAlignment="0" applyProtection="0"/>
    <xf numFmtId="169" fontId="4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22" fillId="0" borderId="0" applyFont="0" applyFill="0" applyBorder="0" applyAlignment="0" applyProtection="0"/>
    <xf numFmtId="0" fontId="23" fillId="0" borderId="0"/>
    <xf numFmtId="173" fontId="22" fillId="0" borderId="0" applyFont="0" applyFill="0" applyBorder="0" applyAlignment="0" applyProtection="0"/>
    <xf numFmtId="40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9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67" fontId="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0" fillId="0" borderId="0" applyFont="0" applyFill="0" applyBorder="0" applyAlignment="0" applyProtection="0"/>
    <xf numFmtId="0" fontId="25" fillId="0" borderId="0"/>
    <xf numFmtId="171" fontId="1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2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2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2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2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2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2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2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79" fontId="12" fillId="0" borderId="0" applyFont="0" applyFill="0" applyBorder="0" applyAlignment="0" applyProtection="0"/>
    <xf numFmtId="180" fontId="29" fillId="0" borderId="0" applyFont="0" applyFill="0" applyBorder="0" applyAlignment="0" applyProtection="0"/>
    <xf numFmtId="181" fontId="12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5" fillId="0" borderId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 applyNumberFormat="0" applyFill="0" applyBorder="0" applyAlignment="0" applyProtection="0"/>
    <xf numFmtId="179" fontId="1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5" fillId="0" borderId="0"/>
    <xf numFmtId="0" fontId="25" fillId="0" borderId="0"/>
    <xf numFmtId="0" fontId="27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0" fontId="2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9" fontId="12" fillId="0" borderId="0" applyFont="0" applyFill="0" applyBorder="0" applyAlignment="0" applyProtection="0"/>
    <xf numFmtId="175" fontId="29" fillId="0" borderId="0" applyFont="0" applyFill="0" applyBorder="0" applyAlignment="0" applyProtection="0"/>
    <xf numFmtId="175" fontId="29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5" fontId="29" fillId="0" borderId="0" applyFont="0" applyFill="0" applyBorder="0" applyAlignment="0" applyProtection="0"/>
    <xf numFmtId="182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83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186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7" fontId="12" fillId="0" borderId="0" applyFont="0" applyFill="0" applyBorder="0" applyAlignment="0" applyProtection="0"/>
    <xf numFmtId="173" fontId="29" fillId="0" borderId="0" applyFont="0" applyFill="0" applyBorder="0" applyAlignment="0" applyProtection="0"/>
    <xf numFmtId="179" fontId="12" fillId="0" borderId="0" applyFont="0" applyFill="0" applyBorder="0" applyAlignment="0" applyProtection="0"/>
    <xf numFmtId="179" fontId="12" fillId="0" borderId="0" applyFont="0" applyFill="0" applyBorder="0" applyAlignment="0" applyProtection="0"/>
    <xf numFmtId="180" fontId="29" fillId="0" borderId="0" applyFont="0" applyFill="0" applyBorder="0" applyAlignment="0" applyProtection="0"/>
    <xf numFmtId="18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9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8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186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7" fontId="12" fillId="0" borderId="0" applyFont="0" applyFill="0" applyBorder="0" applyAlignment="0" applyProtection="0"/>
    <xf numFmtId="176" fontId="29" fillId="0" borderId="0" applyFont="0" applyFill="0" applyBorder="0" applyAlignment="0" applyProtection="0"/>
    <xf numFmtId="190" fontId="12" fillId="0" borderId="0" applyFont="0" applyFill="0" applyBorder="0" applyAlignment="0" applyProtection="0"/>
    <xf numFmtId="191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90" fontId="12" fillId="0" borderId="0" applyFont="0" applyFill="0" applyBorder="0" applyAlignment="0" applyProtection="0"/>
    <xf numFmtId="193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91" fontId="12" fillId="0" borderId="0" applyFont="0" applyFill="0" applyBorder="0" applyAlignment="0" applyProtection="0"/>
    <xf numFmtId="168" fontId="29" fillId="0" borderId="0" applyFont="0" applyFill="0" applyBorder="0" applyAlignment="0" applyProtection="0"/>
    <xf numFmtId="194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95" fontId="12" fillId="0" borderId="0" applyFont="0" applyFill="0" applyBorder="0" applyAlignment="0" applyProtection="0"/>
    <xf numFmtId="179" fontId="12" fillId="0" borderId="0" applyFont="0" applyFill="0" applyBorder="0" applyAlignment="0" applyProtection="0"/>
    <xf numFmtId="180" fontId="29" fillId="0" borderId="0" applyFont="0" applyFill="0" applyBorder="0" applyAlignment="0" applyProtection="0"/>
    <xf numFmtId="18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9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8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73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90" fontId="12" fillId="0" borderId="0" applyFont="0" applyFill="0" applyBorder="0" applyAlignment="0" applyProtection="0"/>
    <xf numFmtId="191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90" fontId="12" fillId="0" borderId="0" applyFont="0" applyFill="0" applyBorder="0" applyAlignment="0" applyProtection="0"/>
    <xf numFmtId="193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91" fontId="12" fillId="0" borderId="0" applyFont="0" applyFill="0" applyBorder="0" applyAlignment="0" applyProtection="0"/>
    <xf numFmtId="168" fontId="29" fillId="0" borderId="0" applyFont="0" applyFill="0" applyBorder="0" applyAlignment="0" applyProtection="0"/>
    <xf numFmtId="194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95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186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7" fontId="12" fillId="0" borderId="0" applyFont="0" applyFill="0" applyBorder="0" applyAlignment="0" applyProtection="0"/>
    <xf numFmtId="173" fontId="29" fillId="0" borderId="0" applyFont="0" applyFill="0" applyBorder="0" applyAlignment="0" applyProtection="0"/>
    <xf numFmtId="175" fontId="29" fillId="0" borderId="0" applyFont="0" applyFill="0" applyBorder="0" applyAlignment="0" applyProtection="0"/>
    <xf numFmtId="175" fontId="29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5" fontId="29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9" fontId="1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5" fillId="0" borderId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0" fontId="25" fillId="0" borderId="0"/>
    <xf numFmtId="180" fontId="12" fillId="0" borderId="0" applyFont="0" applyFill="0" applyBorder="0" applyAlignment="0" applyProtection="0"/>
    <xf numFmtId="188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9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5" fillId="0" borderId="0"/>
    <xf numFmtId="0" fontId="25" fillId="0" borderId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3" fontId="29" fillId="0" borderId="0" applyFont="0" applyFill="0" applyBorder="0" applyAlignment="0" applyProtection="0"/>
    <xf numFmtId="190" fontId="12" fillId="0" borderId="0" applyFont="0" applyFill="0" applyBorder="0" applyAlignment="0" applyProtection="0"/>
    <xf numFmtId="191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90" fontId="12" fillId="0" borderId="0" applyFont="0" applyFill="0" applyBorder="0" applyAlignment="0" applyProtection="0"/>
    <xf numFmtId="193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91" fontId="12" fillId="0" borderId="0" applyFont="0" applyFill="0" applyBorder="0" applyAlignment="0" applyProtection="0"/>
    <xf numFmtId="168" fontId="29" fillId="0" borderId="0" applyFont="0" applyFill="0" applyBorder="0" applyAlignment="0" applyProtection="0"/>
    <xf numFmtId="194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95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186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7" fontId="12" fillId="0" borderId="0" applyFont="0" applyFill="0" applyBorder="0" applyAlignment="0" applyProtection="0"/>
    <xf numFmtId="175" fontId="29" fillId="0" borderId="0" applyFont="0" applyFill="0" applyBorder="0" applyAlignment="0" applyProtection="0"/>
    <xf numFmtId="175" fontId="29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5" fontId="29" fillId="0" borderId="0" applyFont="0" applyFill="0" applyBorder="0" applyAlignment="0" applyProtection="0"/>
    <xf numFmtId="182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1" fontId="12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5" fillId="0" borderId="0"/>
    <xf numFmtId="0" fontId="25" fillId="0" borderId="0"/>
    <xf numFmtId="0" fontId="25" fillId="0" borderId="0"/>
    <xf numFmtId="0" fontId="30" fillId="0" borderId="0"/>
    <xf numFmtId="0" fontId="31" fillId="0" borderId="0" applyNumberFormat="0" applyFill="0" applyBorder="0" applyAlignment="0" applyProtection="0">
      <alignment vertical="top"/>
      <protection locked="0"/>
    </xf>
    <xf numFmtId="0" fontId="4" fillId="0" borderId="0"/>
    <xf numFmtId="37" fontId="32" fillId="0" borderId="0"/>
    <xf numFmtId="197" fontId="33" fillId="0" borderId="0" applyFont="0" applyFill="0" applyBorder="0" applyAlignment="0" applyProtection="0"/>
    <xf numFmtId="198" fontId="33" fillId="0" borderId="0" applyFont="0" applyFill="0" applyBorder="0" applyAlignment="0" applyProtection="0"/>
    <xf numFmtId="10" fontId="33" fillId="0" borderId="0" applyFont="0" applyFill="0" applyBorder="0" applyAlignment="0" applyProtection="0"/>
    <xf numFmtId="0" fontId="34" fillId="2" borderId="0"/>
    <xf numFmtId="0" fontId="35" fillId="0" borderId="0"/>
    <xf numFmtId="0" fontId="36" fillId="3" borderId="3" applyFont="0" applyFill="0" applyAlignment="0">
      <alignment vertical="center" wrapText="1"/>
    </xf>
    <xf numFmtId="9" fontId="37" fillId="0" borderId="0" applyBorder="0" applyAlignment="0" applyProtection="0"/>
    <xf numFmtId="0" fontId="38" fillId="2" borderId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40" fillId="2" borderId="0"/>
    <xf numFmtId="0" fontId="41" fillId="0" borderId="0">
      <alignment wrapText="1"/>
    </xf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7" borderId="0" applyNumberFormat="0" applyBorder="0" applyAlignment="0" applyProtection="0"/>
    <xf numFmtId="0" fontId="39" fillId="10" borderId="0" applyNumberFormat="0" applyBorder="0" applyAlignment="0" applyProtection="0"/>
    <xf numFmtId="0" fontId="39" fillId="13" borderId="0" applyNumberFormat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2" fillId="14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9" fontId="12" fillId="0" borderId="4">
      <alignment horizontal="center"/>
    </xf>
    <xf numFmtId="37" fontId="4" fillId="22" borderId="5" applyFill="0" applyBorder="0" applyAlignment="0" applyProtection="0"/>
    <xf numFmtId="199" fontId="4" fillId="0" borderId="0" applyFont="0" applyFill="0" applyBorder="0" applyAlignment="0" applyProtection="0"/>
    <xf numFmtId="0" fontId="43" fillId="0" borderId="0" applyFont="0" applyFill="0" applyBorder="0" applyAlignment="0" applyProtection="0"/>
    <xf numFmtId="174" fontId="44" fillId="0" borderId="0" applyFont="0" applyFill="0" applyBorder="0" applyAlignment="0" applyProtection="0"/>
    <xf numFmtId="200" fontId="4" fillId="0" borderId="0" applyFont="0" applyFill="0" applyBorder="0" applyAlignment="0" applyProtection="0"/>
    <xf numFmtId="0" fontId="43" fillId="0" borderId="0" applyFont="0" applyFill="0" applyBorder="0" applyAlignment="0" applyProtection="0"/>
    <xf numFmtId="201" fontId="45" fillId="0" borderId="0" applyFont="0" applyFill="0" applyBorder="0" applyAlignment="0" applyProtection="0"/>
    <xf numFmtId="0" fontId="46" fillId="0" borderId="6" applyFont="0" applyFill="0" applyBorder="0" applyAlignment="0" applyProtection="0">
      <alignment horizontal="center" vertical="center"/>
    </xf>
    <xf numFmtId="0" fontId="8" fillId="0" borderId="7" applyNumberFormat="0" applyFill="0" applyBorder="0" applyProtection="0">
      <alignment vertical="center"/>
    </xf>
    <xf numFmtId="0" fontId="47" fillId="0" borderId="0">
      <alignment horizontal="center" wrapText="1"/>
      <protection locked="0"/>
    </xf>
    <xf numFmtId="191" fontId="45" fillId="0" borderId="0" applyFont="0" applyFill="0" applyBorder="0" applyAlignment="0" applyProtection="0"/>
    <xf numFmtId="0" fontId="43" fillId="0" borderId="0" applyFont="0" applyFill="0" applyBorder="0" applyAlignment="0" applyProtection="0"/>
    <xf numFmtId="191" fontId="45" fillId="0" borderId="0" applyFont="0" applyFill="0" applyBorder="0" applyAlignment="0" applyProtection="0"/>
    <xf numFmtId="170" fontId="45" fillId="0" borderId="0" applyFont="0" applyFill="0" applyBorder="0" applyAlignment="0" applyProtection="0"/>
    <xf numFmtId="0" fontId="43" fillId="0" borderId="0" applyFont="0" applyFill="0" applyBorder="0" applyAlignment="0" applyProtection="0"/>
    <xf numFmtId="170" fontId="45" fillId="0" borderId="0" applyFont="0" applyFill="0" applyBorder="0" applyAlignment="0" applyProtection="0"/>
    <xf numFmtId="175" fontId="29" fillId="0" borderId="0" applyFont="0" applyFill="0" applyBorder="0" applyAlignment="0" applyProtection="0"/>
    <xf numFmtId="202" fontId="4" fillId="0" borderId="8">
      <alignment wrapText="1"/>
      <protection locked="0"/>
    </xf>
    <xf numFmtId="0" fontId="48" fillId="0" borderId="0" applyNumberFormat="0" applyFill="0" applyBorder="0" applyAlignment="0" applyProtection="0"/>
    <xf numFmtId="0" fontId="43" fillId="0" borderId="0"/>
    <xf numFmtId="0" fontId="49" fillId="0" borderId="0"/>
    <xf numFmtId="0" fontId="43" fillId="0" borderId="0"/>
    <xf numFmtId="0" fontId="50" fillId="0" borderId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203" fontId="51" fillId="0" borderId="0" applyFill="0" applyBorder="0" applyAlignment="0"/>
    <xf numFmtId="204" fontId="51" fillId="0" borderId="0" applyFill="0" applyBorder="0" applyAlignment="0"/>
    <xf numFmtId="205" fontId="51" fillId="0" borderId="0" applyFill="0" applyBorder="0" applyAlignment="0"/>
    <xf numFmtId="206" fontId="4" fillId="0" borderId="0" applyFill="0" applyBorder="0" applyAlignment="0"/>
    <xf numFmtId="206" fontId="4" fillId="0" borderId="0" applyFill="0" applyBorder="0" applyAlignment="0"/>
    <xf numFmtId="206" fontId="4" fillId="0" borderId="0" applyFill="0" applyBorder="0" applyAlignment="0"/>
    <xf numFmtId="206" fontId="4" fillId="0" borderId="0" applyFill="0" applyBorder="0" applyAlignment="0"/>
    <xf numFmtId="206" fontId="4" fillId="0" borderId="0" applyFill="0" applyBorder="0" applyAlignment="0"/>
    <xf numFmtId="178" fontId="51" fillId="0" borderId="0" applyFill="0" applyBorder="0" applyAlignment="0"/>
    <xf numFmtId="207" fontId="51" fillId="0" borderId="0" applyFill="0" applyBorder="0" applyAlignment="0"/>
    <xf numFmtId="203" fontId="51" fillId="0" borderId="0" applyFill="0" applyBorder="0" applyAlignment="0"/>
    <xf numFmtId="0" fontId="52" fillId="0" borderId="0"/>
    <xf numFmtId="208" fontId="12" fillId="0" borderId="0" applyFont="0" applyFill="0" applyBorder="0" applyAlignment="0" applyProtection="0"/>
    <xf numFmtId="1" fontId="58" fillId="0" borderId="11" applyBorder="0"/>
    <xf numFmtId="0" fontId="53" fillId="0" borderId="12" applyNumberFormat="0" applyFill="0" applyProtection="0">
      <alignment horizontal="center"/>
    </xf>
    <xf numFmtId="209" fontId="54" fillId="0" borderId="0"/>
    <xf numFmtId="209" fontId="54" fillId="0" borderId="0"/>
    <xf numFmtId="209" fontId="54" fillId="0" borderId="0"/>
    <xf numFmtId="209" fontId="54" fillId="0" borderId="0"/>
    <xf numFmtId="209" fontId="54" fillId="0" borderId="0"/>
    <xf numFmtId="209" fontId="54" fillId="0" borderId="0"/>
    <xf numFmtId="209" fontId="54" fillId="0" borderId="0"/>
    <xf numFmtId="209" fontId="54" fillId="0" borderId="0"/>
    <xf numFmtId="0" fontId="55" fillId="0" borderId="8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178" fontId="5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210" fontId="49" fillId="0" borderId="0"/>
    <xf numFmtId="37" fontId="33" fillId="0" borderId="0" applyFont="0" applyFill="0" applyBorder="0" applyAlignment="0" applyProtection="0"/>
    <xf numFmtId="203" fontId="33" fillId="0" borderId="0" applyFont="0" applyFill="0" applyBorder="0" applyAlignment="0" applyProtection="0"/>
    <xf numFmtId="39" fontId="33" fillId="0" borderId="0" applyFont="0" applyFill="0" applyBorder="0" applyAlignment="0" applyProtection="0"/>
    <xf numFmtId="3" fontId="4" fillId="0" borderId="0" applyFont="0" applyFill="0" applyBorder="0" applyAlignment="0" applyProtection="0"/>
    <xf numFmtId="37" fontId="4" fillId="2" borderId="5" applyFill="0" applyBorder="0" applyAlignment="0" applyProtection="0"/>
    <xf numFmtId="0" fontId="56" fillId="0" borderId="0" applyNumberFormat="0" applyAlignment="0">
      <alignment horizontal="left"/>
    </xf>
    <xf numFmtId="0" fontId="57" fillId="0" borderId="0" applyNumberFormat="0" applyAlignment="0"/>
    <xf numFmtId="203" fontId="51" fillId="0" borderId="0" applyFont="0" applyFill="0" applyBorder="0" applyAlignment="0" applyProtection="0"/>
    <xf numFmtId="211" fontId="33" fillId="0" borderId="0" applyFont="0" applyFill="0" applyBorder="0" applyAlignment="0" applyProtection="0"/>
    <xf numFmtId="212" fontId="33" fillId="0" borderId="0" applyFont="0" applyFill="0" applyBorder="0" applyAlignment="0" applyProtection="0"/>
    <xf numFmtId="213" fontId="4" fillId="0" borderId="0" applyFont="0" applyFill="0" applyBorder="0" applyAlignment="0" applyProtection="0"/>
    <xf numFmtId="214" fontId="4" fillId="0" borderId="0"/>
    <xf numFmtId="0" fontId="6" fillId="2" borderId="0" applyNumberFormat="0" applyFont="0" applyFill="0" applyBorder="0" applyProtection="0">
      <alignment horizontal="left"/>
    </xf>
    <xf numFmtId="0" fontId="4" fillId="0" borderId="0" applyFont="0" applyFill="0" applyBorder="0" applyAlignment="0" applyProtection="0"/>
    <xf numFmtId="14" fontId="59" fillId="0" borderId="0" applyFill="0" applyBorder="0" applyAlignment="0"/>
    <xf numFmtId="0" fontId="60" fillId="0" borderId="0" applyProtection="0"/>
    <xf numFmtId="215" fontId="4" fillId="0" borderId="13">
      <alignment vertical="center"/>
    </xf>
    <xf numFmtId="216" fontId="4" fillId="0" borderId="0" applyFont="0" applyFill="0" applyBorder="0" applyAlignment="0" applyProtection="0"/>
    <xf numFmtId="217" fontId="4" fillId="0" borderId="0" applyFont="0" applyFill="0" applyBorder="0" applyAlignment="0" applyProtection="0"/>
    <xf numFmtId="218" fontId="4" fillId="0" borderId="0"/>
    <xf numFmtId="3" fontId="9" fillId="0" borderId="0" applyFont="0" applyBorder="0" applyAlignment="0"/>
    <xf numFmtId="0" fontId="61" fillId="0" borderId="0" applyNumberFormat="0" applyFill="0" applyBorder="0" applyAlignment="0" applyProtection="0"/>
    <xf numFmtId="0" fontId="12" fillId="0" borderId="0"/>
    <xf numFmtId="178" fontId="51" fillId="0" borderId="0" applyFill="0" applyBorder="0" applyAlignment="0"/>
    <xf numFmtId="203" fontId="51" fillId="0" borderId="0" applyFill="0" applyBorder="0" applyAlignment="0"/>
    <xf numFmtId="178" fontId="51" fillId="0" borderId="0" applyFill="0" applyBorder="0" applyAlignment="0"/>
    <xf numFmtId="207" fontId="51" fillId="0" borderId="0" applyFill="0" applyBorder="0" applyAlignment="0"/>
    <xf numFmtId="203" fontId="51" fillId="0" borderId="0" applyFill="0" applyBorder="0" applyAlignment="0"/>
    <xf numFmtId="0" fontId="62" fillId="0" borderId="0" applyNumberFormat="0" applyAlignment="0">
      <alignment horizontal="left"/>
    </xf>
    <xf numFmtId="219" fontId="63" fillId="0" borderId="0" applyFont="0" applyFill="0" applyBorder="0" applyAlignment="0" applyProtection="0"/>
    <xf numFmtId="220" fontId="64" fillId="0" borderId="0"/>
    <xf numFmtId="3" fontId="9" fillId="0" borderId="0" applyFont="0" applyBorder="0" applyAlignment="0"/>
    <xf numFmtId="0" fontId="65" fillId="0" borderId="0" applyProtection="0"/>
    <xf numFmtId="0" fontId="66" fillId="0" borderId="0" applyProtection="0"/>
    <xf numFmtId="0" fontId="67" fillId="0" borderId="0" applyProtection="0"/>
    <xf numFmtId="0" fontId="68" fillId="0" borderId="0" applyProtection="0"/>
    <xf numFmtId="0" fontId="69" fillId="0" borderId="0" applyNumberFormat="0" applyFont="0" applyFill="0" applyBorder="0" applyAlignment="0" applyProtection="0"/>
    <xf numFmtId="0" fontId="70" fillId="0" borderId="0" applyProtection="0"/>
    <xf numFmtId="0" fontId="71" fillId="0" borderId="0" applyProtection="0"/>
    <xf numFmtId="2" fontId="4" fillId="0" borderId="0" applyFont="0" applyFill="0" applyBorder="0" applyAlignment="0" applyProtection="0"/>
    <xf numFmtId="0" fontId="72" fillId="0" borderId="0" applyNumberFormat="0" applyFill="0" applyBorder="0" applyAlignment="0" applyProtection="0">
      <alignment vertical="top"/>
      <protection locked="0"/>
    </xf>
    <xf numFmtId="38" fontId="73" fillId="22" borderId="0" applyNumberFormat="0" applyBorder="0" applyAlignment="0" applyProtection="0"/>
    <xf numFmtId="0" fontId="74" fillId="0" borderId="0" applyNumberFormat="0" applyFont="0" applyBorder="0" applyAlignment="0">
      <alignment horizontal="left" vertical="center"/>
    </xf>
    <xf numFmtId="0" fontId="75" fillId="25" borderId="0"/>
    <xf numFmtId="0" fontId="76" fillId="0" borderId="0">
      <alignment horizontal="left"/>
    </xf>
    <xf numFmtId="0" fontId="77" fillId="0" borderId="14" applyNumberFormat="0" applyAlignment="0" applyProtection="0">
      <alignment horizontal="left" vertical="center"/>
    </xf>
    <xf numFmtId="37" fontId="78" fillId="26" borderId="0">
      <alignment vertical="center"/>
    </xf>
    <xf numFmtId="0" fontId="77" fillId="0" borderId="15">
      <alignment horizontal="left" vertical="center"/>
    </xf>
    <xf numFmtId="221" fontId="79" fillId="27" borderId="0">
      <alignment horizontal="left" vertical="top"/>
    </xf>
    <xf numFmtId="222" fontId="29" fillId="0" borderId="0">
      <protection locked="0"/>
    </xf>
    <xf numFmtId="222" fontId="29" fillId="0" borderId="0">
      <protection locked="0"/>
    </xf>
    <xf numFmtId="0" fontId="80" fillId="0" borderId="19">
      <alignment horizontal="center"/>
    </xf>
    <xf numFmtId="0" fontId="80" fillId="0" borderId="0">
      <alignment horizontal="center"/>
    </xf>
    <xf numFmtId="211" fontId="81" fillId="28" borderId="8" applyNumberFormat="0" applyAlignment="0">
      <alignment horizontal="left" vertical="top"/>
    </xf>
    <xf numFmtId="223" fontId="4" fillId="0" borderId="0" applyFont="0" applyFill="0" applyBorder="0" applyAlignment="0" applyProtection="0">
      <alignment vertical="top" wrapText="1"/>
    </xf>
    <xf numFmtId="223" fontId="46" fillId="0" borderId="0" applyFont="0" applyFill="0" applyBorder="0" applyAlignment="0" applyProtection="0">
      <alignment horizontal="center" vertical="center"/>
    </xf>
    <xf numFmtId="0" fontId="7" fillId="26" borderId="20" applyNumberFormat="0" applyFont="0" applyBorder="0" applyAlignment="0">
      <alignment vertical="center"/>
    </xf>
    <xf numFmtId="0" fontId="7" fillId="29" borderId="21" applyNumberFormat="0" applyFont="0" applyBorder="0" applyAlignment="0"/>
    <xf numFmtId="49" fontId="82" fillId="0" borderId="8">
      <alignment vertical="center"/>
    </xf>
    <xf numFmtId="41" fontId="12" fillId="0" borderId="0" applyFont="0" applyFill="0" applyBorder="0" applyAlignment="0" applyProtection="0"/>
    <xf numFmtId="0" fontId="83" fillId="27" borderId="0">
      <alignment horizontal="left" wrapText="1" indent="2"/>
    </xf>
    <xf numFmtId="10" fontId="73" fillId="22" borderId="8" applyNumberFormat="0" applyBorder="0" applyAlignment="0" applyProtection="0"/>
    <xf numFmtId="203" fontId="84" fillId="30" borderId="0"/>
    <xf numFmtId="210" fontId="4" fillId="2" borderId="21" applyFill="0" applyBorder="0" applyAlignment="0"/>
    <xf numFmtId="210" fontId="4" fillId="2" borderId="21" applyFill="0" applyBorder="0" applyAlignment="0"/>
    <xf numFmtId="210" fontId="4" fillId="2" borderId="21" applyFill="0" applyBorder="0" applyAlignment="0"/>
    <xf numFmtId="210" fontId="4" fillId="2" borderId="21" applyFill="0" applyBorder="0" applyAlignment="0"/>
    <xf numFmtId="210" fontId="4" fillId="2" borderId="21" applyFill="0" applyBorder="0" applyAlignment="0"/>
    <xf numFmtId="0" fontId="26" fillId="0" borderId="0"/>
    <xf numFmtId="37" fontId="6" fillId="0" borderId="0" applyFont="0" applyFill="0" applyBorder="0" applyAlignment="0"/>
    <xf numFmtId="0" fontId="26" fillId="0" borderId="0"/>
    <xf numFmtId="178" fontId="51" fillId="0" borderId="0" applyFill="0" applyBorder="0" applyAlignment="0"/>
    <xf numFmtId="203" fontId="51" fillId="0" borderId="0" applyFill="0" applyBorder="0" applyAlignment="0"/>
    <xf numFmtId="178" fontId="51" fillId="0" borderId="0" applyFill="0" applyBorder="0" applyAlignment="0"/>
    <xf numFmtId="207" fontId="51" fillId="0" borderId="0" applyFill="0" applyBorder="0" applyAlignment="0"/>
    <xf numFmtId="203" fontId="51" fillId="0" borderId="0" applyFill="0" applyBorder="0" applyAlignment="0"/>
    <xf numFmtId="203" fontId="85" fillId="31" borderId="0"/>
    <xf numFmtId="0" fontId="46" fillId="0" borderId="0" applyFont="0" applyFill="0" applyBorder="0" applyProtection="0">
      <alignment horizontal="center" vertical="center"/>
    </xf>
    <xf numFmtId="38" fontId="26" fillId="0" borderId="0" applyFont="0" applyFill="0" applyBorder="0" applyAlignment="0" applyProtection="0"/>
    <xf numFmtId="40" fontId="26" fillId="0" borderId="0" applyFont="0" applyFill="0" applyBorder="0" applyAlignment="0" applyProtection="0"/>
    <xf numFmtId="17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86" fillId="0" borderId="19"/>
    <xf numFmtId="224" fontId="87" fillId="0" borderId="23"/>
    <xf numFmtId="175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225" fontId="26" fillId="0" borderId="0" applyFont="0" applyFill="0" applyBorder="0" applyAlignment="0" applyProtection="0"/>
    <xf numFmtId="226" fontId="26" fillId="0" borderId="0" applyFont="0" applyFill="0" applyBorder="0" applyAlignment="0" applyProtection="0"/>
    <xf numFmtId="227" fontId="4" fillId="0" borderId="0" applyFont="0" applyFill="0" applyBorder="0" applyAlignment="0" applyProtection="0"/>
    <xf numFmtId="228" fontId="4" fillId="0" borderId="0" applyFont="0" applyFill="0" applyBorder="0" applyAlignment="0" applyProtection="0"/>
    <xf numFmtId="0" fontId="60" fillId="0" borderId="0" applyNumberFormat="0" applyFont="0" applyFill="0" applyAlignment="0"/>
    <xf numFmtId="0" fontId="49" fillId="0" borderId="0"/>
    <xf numFmtId="37" fontId="88" fillId="0" borderId="0"/>
    <xf numFmtId="229" fontId="4" fillId="26" borderId="24" applyFont="0" applyBorder="0">
      <alignment horizontal="center" vertical="center"/>
    </xf>
    <xf numFmtId="0" fontId="89" fillId="0" borderId="8" applyNumberFormat="0" applyFont="0" applyFill="0" applyBorder="0" applyAlignment="0">
      <alignment horizontal="center"/>
    </xf>
    <xf numFmtId="230" fontId="90" fillId="0" borderId="0"/>
    <xf numFmtId="0" fontId="91" fillId="0" borderId="0"/>
    <xf numFmtId="0" fontId="1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37" fontId="92" fillId="0" borderId="0"/>
    <xf numFmtId="3" fontId="93" fillId="0" borderId="0" applyFont="0" applyFill="0" applyBorder="0" applyAlignment="0" applyProtection="0"/>
    <xf numFmtId="231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" fillId="0" borderId="0" applyFont="0" applyFill="0" applyBorder="0" applyAlignment="0" applyProtection="0"/>
    <xf numFmtId="0" fontId="49" fillId="0" borderId="0"/>
    <xf numFmtId="3" fontId="4" fillId="2" borderId="5" applyFill="0" applyBorder="0" applyAlignment="0" applyProtection="0">
      <alignment vertical="top"/>
    </xf>
    <xf numFmtId="0" fontId="96" fillId="22" borderId="0"/>
    <xf numFmtId="0" fontId="55" fillId="0" borderId="0"/>
    <xf numFmtId="14" fontId="47" fillId="0" borderId="0">
      <alignment horizontal="center" wrapText="1"/>
      <protection locked="0"/>
    </xf>
    <xf numFmtId="206" fontId="4" fillId="0" borderId="0" applyFont="0" applyFill="0" applyBorder="0" applyAlignment="0" applyProtection="0"/>
    <xf numFmtId="206" fontId="4" fillId="0" borderId="0" applyFont="0" applyFill="0" applyBorder="0" applyAlignment="0" applyProtection="0"/>
    <xf numFmtId="206" fontId="4" fillId="0" borderId="0" applyFont="0" applyFill="0" applyBorder="0" applyAlignment="0" applyProtection="0"/>
    <xf numFmtId="206" fontId="4" fillId="0" borderId="0" applyFont="0" applyFill="0" applyBorder="0" applyAlignment="0" applyProtection="0"/>
    <xf numFmtId="206" fontId="4" fillId="0" borderId="0" applyFont="0" applyFill="0" applyBorder="0" applyAlignment="0" applyProtection="0"/>
    <xf numFmtId="233" fontId="4" fillId="0" borderId="0" applyFont="0" applyFill="0" applyBorder="0" applyAlignment="0" applyProtection="0"/>
    <xf numFmtId="233" fontId="4" fillId="0" borderId="0" applyFont="0" applyFill="0" applyBorder="0" applyAlignment="0" applyProtection="0"/>
    <xf numFmtId="233" fontId="4" fillId="0" borderId="0" applyFont="0" applyFill="0" applyBorder="0" applyAlignment="0" applyProtection="0"/>
    <xf numFmtId="233" fontId="4" fillId="0" borderId="0" applyFont="0" applyFill="0" applyBorder="0" applyAlignment="0" applyProtection="0"/>
    <xf numFmtId="233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6" fillId="0" borderId="27" applyNumberFormat="0" applyBorder="0"/>
    <xf numFmtId="178" fontId="51" fillId="0" borderId="0" applyFill="0" applyBorder="0" applyAlignment="0"/>
    <xf numFmtId="203" fontId="51" fillId="0" borderId="0" applyFill="0" applyBorder="0" applyAlignment="0"/>
    <xf numFmtId="178" fontId="51" fillId="0" borderId="0" applyFill="0" applyBorder="0" applyAlignment="0"/>
    <xf numFmtId="207" fontId="51" fillId="0" borderId="0" applyFill="0" applyBorder="0" applyAlignment="0"/>
    <xf numFmtId="203" fontId="51" fillId="0" borderId="0" applyFill="0" applyBorder="0" applyAlignment="0"/>
    <xf numFmtId="0" fontId="97" fillId="0" borderId="0"/>
    <xf numFmtId="0" fontId="98" fillId="0" borderId="0" applyFont="0" applyFill="0" applyBorder="0" applyAlignment="0" applyProtection="0"/>
    <xf numFmtId="0" fontId="26" fillId="0" borderId="0" applyNumberFormat="0" applyFont="0" applyFill="0" applyBorder="0" applyAlignment="0" applyProtection="0">
      <alignment horizontal="left"/>
    </xf>
    <xf numFmtId="0" fontId="99" fillId="0" borderId="19">
      <alignment horizontal="center"/>
    </xf>
    <xf numFmtId="0" fontId="100" fillId="34" borderId="0" applyNumberFormat="0" applyFont="0" applyBorder="0" applyAlignment="0">
      <alignment horizontal="center"/>
    </xf>
    <xf numFmtId="234" fontId="4" fillId="0" borderId="0" applyNumberFormat="0" applyFill="0" applyBorder="0" applyAlignment="0" applyProtection="0">
      <alignment horizontal="left"/>
    </xf>
    <xf numFmtId="234" fontId="4" fillId="0" borderId="0" applyNumberFormat="0" applyFill="0" applyBorder="0" applyAlignment="0" applyProtection="0">
      <alignment horizontal="left"/>
    </xf>
    <xf numFmtId="234" fontId="4" fillId="0" borderId="0" applyNumberFormat="0" applyFill="0" applyBorder="0" applyAlignment="0" applyProtection="0">
      <alignment horizontal="left"/>
    </xf>
    <xf numFmtId="234" fontId="4" fillId="0" borderId="0" applyNumberFormat="0" applyFill="0" applyBorder="0" applyAlignment="0" applyProtection="0">
      <alignment horizontal="left"/>
    </xf>
    <xf numFmtId="234" fontId="4" fillId="0" borderId="0" applyNumberFormat="0" applyFill="0" applyBorder="0" applyAlignment="0" applyProtection="0">
      <alignment horizontal="left"/>
    </xf>
    <xf numFmtId="41" fontId="1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" fontId="101" fillId="35" borderId="28" applyNumberFormat="0" applyProtection="0">
      <alignment horizontal="left" vertical="center" indent="1"/>
    </xf>
    <xf numFmtId="3" fontId="60" fillId="22" borderId="29" applyProtection="0">
      <alignment horizontal="right" vertical="center"/>
    </xf>
    <xf numFmtId="4" fontId="7" fillId="27" borderId="28" applyNumberFormat="0" applyProtection="0">
      <alignment horizontal="left" vertical="center" wrapText="1" indent="1"/>
    </xf>
    <xf numFmtId="0" fontId="100" fillId="1" borderId="15" applyNumberFormat="0" applyFont="0" applyAlignment="0">
      <alignment horizontal="center"/>
    </xf>
    <xf numFmtId="0" fontId="102" fillId="0" borderId="0" applyNumberFormat="0" applyFill="0" applyBorder="0" applyAlignment="0" applyProtection="0"/>
    <xf numFmtId="0" fontId="103" fillId="0" borderId="0" applyNumberFormat="0" applyFill="0" applyBorder="0" applyAlignment="0">
      <alignment horizontal="center"/>
    </xf>
    <xf numFmtId="0" fontId="4" fillId="0" borderId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7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235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19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235" fontId="12" fillId="0" borderId="0" applyFont="0" applyFill="0" applyBorder="0" applyAlignment="0" applyProtection="0"/>
    <xf numFmtId="190" fontId="12" fillId="0" borderId="0" applyFont="0" applyFill="0" applyBorder="0" applyAlignment="0" applyProtection="0"/>
    <xf numFmtId="193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91" fontId="12" fillId="0" borderId="0" applyFont="0" applyFill="0" applyBorder="0" applyAlignment="0" applyProtection="0"/>
    <xf numFmtId="191" fontId="12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237" fontId="12" fillId="0" borderId="0" applyFont="0" applyFill="0" applyBorder="0" applyAlignment="0" applyProtection="0"/>
    <xf numFmtId="235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194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9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235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95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190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9" fontId="12" fillId="0" borderId="0" applyFont="0" applyFill="0" applyBorder="0" applyAlignment="0" applyProtection="0"/>
    <xf numFmtId="238" fontId="12" fillId="0" borderId="0" applyFont="0" applyFill="0" applyBorder="0" applyAlignment="0" applyProtection="0"/>
    <xf numFmtId="179" fontId="12" fillId="0" borderId="0" applyFont="0" applyFill="0" applyBorder="0" applyAlignment="0" applyProtection="0"/>
    <xf numFmtId="180" fontId="29" fillId="0" borderId="0" applyFont="0" applyFill="0" applyBorder="0" applyAlignment="0" applyProtection="0"/>
    <xf numFmtId="193" fontId="12" fillId="0" borderId="0" applyFont="0" applyFill="0" applyBorder="0" applyAlignment="0" applyProtection="0"/>
    <xf numFmtId="181" fontId="12" fillId="0" borderId="0" applyFont="0" applyFill="0" applyBorder="0" applyAlignment="0" applyProtection="0"/>
    <xf numFmtId="238" fontId="12" fillId="0" borderId="0" applyFont="0" applyFill="0" applyBorder="0" applyAlignment="0" applyProtection="0"/>
    <xf numFmtId="181" fontId="12" fillId="0" borderId="0" applyFont="0" applyFill="0" applyBorder="0" applyAlignment="0" applyProtection="0"/>
    <xf numFmtId="181" fontId="12" fillId="0" borderId="0" applyFont="0" applyFill="0" applyBorder="0" applyAlignment="0" applyProtection="0"/>
    <xf numFmtId="239" fontId="12" fillId="0" borderId="0" applyFont="0" applyFill="0" applyBorder="0" applyAlignment="0" applyProtection="0"/>
    <xf numFmtId="240" fontId="12" fillId="0" borderId="0" applyFont="0" applyFill="0" applyBorder="0" applyAlignment="0" applyProtection="0"/>
    <xf numFmtId="239" fontId="12" fillId="0" borderId="0" applyFont="0" applyFill="0" applyBorder="0" applyAlignment="0" applyProtection="0"/>
    <xf numFmtId="180" fontId="29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90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9" fontId="12" fillId="0" borderId="0" applyFont="0" applyFill="0" applyBorder="0" applyAlignment="0" applyProtection="0"/>
    <xf numFmtId="238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8" fontId="12" fillId="0" borderId="0" applyFont="0" applyFill="0" applyBorder="0" applyAlignment="0" applyProtection="0"/>
    <xf numFmtId="241" fontId="12" fillId="0" borderId="0" applyFont="0" applyFill="0" applyBorder="0" applyAlignment="0" applyProtection="0"/>
    <xf numFmtId="188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88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79" fontId="12" fillId="0" borderId="0" applyFont="0" applyFill="0" applyBorder="0" applyAlignment="0" applyProtection="0"/>
    <xf numFmtId="238" fontId="12" fillId="0" borderId="0" applyFont="0" applyFill="0" applyBorder="0" applyAlignment="0" applyProtection="0"/>
    <xf numFmtId="179" fontId="12" fillId="0" borderId="0" applyFont="0" applyFill="0" applyBorder="0" applyAlignment="0" applyProtection="0"/>
    <xf numFmtId="180" fontId="29" fillId="0" borderId="0" applyFont="0" applyFill="0" applyBorder="0" applyAlignment="0" applyProtection="0"/>
    <xf numFmtId="181" fontId="12" fillId="0" borderId="0" applyFont="0" applyFill="0" applyBorder="0" applyAlignment="0" applyProtection="0"/>
    <xf numFmtId="238" fontId="12" fillId="0" borderId="0" applyFont="0" applyFill="0" applyBorder="0" applyAlignment="0" applyProtection="0"/>
    <xf numFmtId="181" fontId="12" fillId="0" borderId="0" applyFont="0" applyFill="0" applyBorder="0" applyAlignment="0" applyProtection="0"/>
    <xf numFmtId="191" fontId="12" fillId="0" borderId="0" applyFont="0" applyFill="0" applyBorder="0" applyAlignment="0" applyProtection="0"/>
    <xf numFmtId="181" fontId="12" fillId="0" borderId="0" applyFont="0" applyFill="0" applyBorder="0" applyAlignment="0" applyProtection="0"/>
    <xf numFmtId="239" fontId="12" fillId="0" borderId="0" applyFont="0" applyFill="0" applyBorder="0" applyAlignment="0" applyProtection="0"/>
    <xf numFmtId="240" fontId="12" fillId="0" borderId="0" applyFont="0" applyFill="0" applyBorder="0" applyAlignment="0" applyProtection="0"/>
    <xf numFmtId="239" fontId="12" fillId="0" borderId="0" applyFont="0" applyFill="0" applyBorder="0" applyAlignment="0" applyProtection="0"/>
    <xf numFmtId="180" fontId="29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9" fontId="12" fillId="0" borderId="0" applyFont="0" applyFill="0" applyBorder="0" applyAlignment="0" applyProtection="0"/>
    <xf numFmtId="191" fontId="12" fillId="0" borderId="0" applyFont="0" applyFill="0" applyBorder="0" applyAlignment="0" applyProtection="0"/>
    <xf numFmtId="238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8" fontId="12" fillId="0" borderId="0" applyFont="0" applyFill="0" applyBorder="0" applyAlignment="0" applyProtection="0"/>
    <xf numFmtId="241" fontId="12" fillId="0" borderId="0" applyFont="0" applyFill="0" applyBorder="0" applyAlignment="0" applyProtection="0"/>
    <xf numFmtId="188" fontId="12" fillId="0" borderId="0" applyFont="0" applyFill="0" applyBorder="0" applyAlignment="0" applyProtection="0"/>
    <xf numFmtId="188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237" fontId="12" fillId="0" borderId="0" applyFont="0" applyFill="0" applyBorder="0" applyAlignment="0" applyProtection="0"/>
    <xf numFmtId="235" fontId="12" fillId="0" borderId="0" applyFont="0" applyFill="0" applyBorder="0" applyAlignment="0" applyProtection="0"/>
    <xf numFmtId="194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5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5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95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90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5" fontId="12" fillId="0" borderId="0" applyFont="0" applyFill="0" applyBorder="0" applyAlignment="0" applyProtection="0"/>
    <xf numFmtId="0" fontId="104" fillId="0" borderId="0"/>
    <xf numFmtId="0" fontId="59" fillId="0" borderId="0" applyNumberFormat="0" applyBorder="0" applyAlignment="0"/>
    <xf numFmtId="0" fontId="105" fillId="0" borderId="0" applyNumberFormat="0" applyBorder="0" applyAlignment="0"/>
    <xf numFmtId="0" fontId="106" fillId="0" borderId="0" applyNumberFormat="0" applyBorder="0" applyAlignment="0"/>
    <xf numFmtId="0" fontId="107" fillId="0" borderId="0" applyNumberFormat="0" applyBorder="0" applyAlignment="0"/>
    <xf numFmtId="0" fontId="108" fillId="0" borderId="0" applyNumberFormat="0" applyBorder="0" applyAlignment="0"/>
    <xf numFmtId="0" fontId="109" fillId="0" borderId="0" applyNumberFormat="0" applyBorder="0" applyAlignment="0"/>
    <xf numFmtId="0" fontId="86" fillId="0" borderId="0"/>
    <xf numFmtId="0" fontId="110" fillId="27" borderId="0">
      <alignment wrapText="1"/>
    </xf>
    <xf numFmtId="40" fontId="111" fillId="0" borderId="0" applyBorder="0">
      <alignment horizontal="right"/>
    </xf>
    <xf numFmtId="0" fontId="112" fillId="0" borderId="0"/>
    <xf numFmtId="242" fontId="95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3" fontId="113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37" fontId="59" fillId="0" borderId="0" applyBorder="0" applyAlignment="0" applyProtection="0"/>
    <xf numFmtId="49" fontId="59" fillId="0" borderId="0" applyFill="0" applyBorder="0" applyAlignment="0"/>
    <xf numFmtId="244" fontId="4" fillId="0" borderId="0" applyFill="0" applyBorder="0" applyAlignment="0"/>
    <xf numFmtId="244" fontId="4" fillId="0" borderId="0" applyFill="0" applyBorder="0" applyAlignment="0"/>
    <xf numFmtId="244" fontId="4" fillId="0" borderId="0" applyFill="0" applyBorder="0" applyAlignment="0"/>
    <xf numFmtId="244" fontId="4" fillId="0" borderId="0" applyFill="0" applyBorder="0" applyAlignment="0"/>
    <xf numFmtId="244" fontId="4" fillId="0" borderId="0" applyFill="0" applyBorder="0" applyAlignment="0"/>
    <xf numFmtId="245" fontId="4" fillId="0" borderId="0" applyFill="0" applyBorder="0" applyAlignment="0"/>
    <xf numFmtId="245" fontId="4" fillId="0" borderId="0" applyFill="0" applyBorder="0" applyAlignment="0"/>
    <xf numFmtId="245" fontId="4" fillId="0" borderId="0" applyFill="0" applyBorder="0" applyAlignment="0"/>
    <xf numFmtId="245" fontId="4" fillId="0" borderId="0" applyFill="0" applyBorder="0" applyAlignment="0"/>
    <xf numFmtId="245" fontId="4" fillId="0" borderId="0" applyFill="0" applyBorder="0" applyAlignment="0"/>
    <xf numFmtId="37" fontId="59" fillId="0" borderId="0" applyBorder="0" applyAlignment="0" applyProtection="0"/>
    <xf numFmtId="180" fontId="95" fillId="0" borderId="30">
      <alignment horizontal="center"/>
    </xf>
    <xf numFmtId="0" fontId="115" fillId="0" borderId="2"/>
    <xf numFmtId="180" fontId="95" fillId="0" borderId="30">
      <alignment horizontal="center"/>
    </xf>
    <xf numFmtId="0" fontId="116" fillId="0" borderId="0">
      <alignment vertical="center" wrapText="1"/>
      <protection locked="0"/>
    </xf>
    <xf numFmtId="0" fontId="28" fillId="0" borderId="2"/>
    <xf numFmtId="0" fontId="115" fillId="0" borderId="2"/>
    <xf numFmtId="0" fontId="28" fillId="0" borderId="2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40" fontId="114" fillId="0" borderId="0"/>
    <xf numFmtId="0" fontId="87" fillId="0" borderId="32" applyNumberFormat="0" applyAlignment="0">
      <alignment horizont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246" fontId="4" fillId="0" borderId="33" applyFont="0" applyFill="0" applyBorder="0" applyProtection="0">
      <alignment horizontal="center"/>
      <protection locked="0"/>
    </xf>
    <xf numFmtId="246" fontId="4" fillId="0" borderId="33" applyFont="0" applyFill="0" applyBorder="0" applyProtection="0">
      <alignment horizontal="center"/>
      <protection locked="0"/>
    </xf>
    <xf numFmtId="246" fontId="4" fillId="0" borderId="33" applyFont="0" applyFill="0" applyBorder="0" applyProtection="0">
      <alignment horizontal="center"/>
      <protection locked="0"/>
    </xf>
    <xf numFmtId="246" fontId="4" fillId="0" borderId="33" applyFont="0" applyFill="0" applyBorder="0" applyProtection="0">
      <alignment horizontal="center"/>
      <protection locked="0"/>
    </xf>
    <xf numFmtId="246" fontId="4" fillId="0" borderId="33" applyFont="0" applyFill="0" applyBorder="0" applyProtection="0">
      <alignment horizontal="center"/>
      <protection locked="0"/>
    </xf>
    <xf numFmtId="247" fontId="6" fillId="0" borderId="34" applyFont="0" applyFill="0" applyBorder="0" applyProtection="0">
      <alignment horizontal="center"/>
    </xf>
    <xf numFmtId="38" fontId="4" fillId="0" borderId="8" applyFont="0" applyFill="0" applyBorder="0" applyAlignment="0" applyProtection="0">
      <protection locked="0"/>
    </xf>
    <xf numFmtId="38" fontId="4" fillId="0" borderId="8" applyFont="0" applyFill="0" applyBorder="0" applyAlignment="0" applyProtection="0">
      <protection locked="0"/>
    </xf>
    <xf numFmtId="38" fontId="4" fillId="0" borderId="8" applyFont="0" applyFill="0" applyBorder="0" applyAlignment="0" applyProtection="0">
      <protection locked="0"/>
    </xf>
    <xf numFmtId="38" fontId="4" fillId="0" borderId="8" applyFont="0" applyFill="0" applyBorder="0" applyAlignment="0" applyProtection="0">
      <protection locked="0"/>
    </xf>
    <xf numFmtId="38" fontId="4" fillId="0" borderId="8" applyFont="0" applyFill="0" applyBorder="0" applyAlignment="0" applyProtection="0">
      <protection locked="0"/>
    </xf>
    <xf numFmtId="15" fontId="4" fillId="0" borderId="8" applyFont="0" applyFill="0" applyBorder="0" applyProtection="0">
      <alignment horizontal="center"/>
      <protection locked="0"/>
    </xf>
    <xf numFmtId="15" fontId="4" fillId="0" borderId="8" applyFont="0" applyFill="0" applyBorder="0" applyProtection="0">
      <alignment horizontal="center"/>
      <protection locked="0"/>
    </xf>
    <xf numFmtId="15" fontId="4" fillId="0" borderId="8" applyFont="0" applyFill="0" applyBorder="0" applyProtection="0">
      <alignment horizontal="center"/>
      <protection locked="0"/>
    </xf>
    <xf numFmtId="15" fontId="4" fillId="0" borderId="8" applyFont="0" applyFill="0" applyBorder="0" applyProtection="0">
      <alignment horizontal="center"/>
      <protection locked="0"/>
    </xf>
    <xf numFmtId="15" fontId="4" fillId="0" borderId="8" applyFont="0" applyFill="0" applyBorder="0" applyProtection="0">
      <alignment horizontal="center"/>
      <protection locked="0"/>
    </xf>
    <xf numFmtId="10" fontId="4" fillId="0" borderId="8" applyFont="0" applyFill="0" applyBorder="0" applyProtection="0">
      <alignment horizontal="center"/>
      <protection locked="0"/>
    </xf>
    <xf numFmtId="10" fontId="4" fillId="0" borderId="8" applyFont="0" applyFill="0" applyBorder="0" applyProtection="0">
      <alignment horizontal="center"/>
      <protection locked="0"/>
    </xf>
    <xf numFmtId="10" fontId="4" fillId="0" borderId="8" applyFont="0" applyFill="0" applyBorder="0" applyProtection="0">
      <alignment horizontal="center"/>
      <protection locked="0"/>
    </xf>
    <xf numFmtId="10" fontId="4" fillId="0" borderId="8" applyFont="0" applyFill="0" applyBorder="0" applyProtection="0">
      <alignment horizontal="center"/>
      <protection locked="0"/>
    </xf>
    <xf numFmtId="10" fontId="4" fillId="0" borderId="8" applyFont="0" applyFill="0" applyBorder="0" applyProtection="0">
      <alignment horizontal="center"/>
      <protection locked="0"/>
    </xf>
    <xf numFmtId="248" fontId="4" fillId="0" borderId="8" applyFont="0" applyFill="0" applyBorder="0" applyProtection="0">
      <alignment horizontal="center"/>
    </xf>
    <xf numFmtId="248" fontId="4" fillId="0" borderId="8" applyFont="0" applyFill="0" applyBorder="0" applyProtection="0">
      <alignment horizontal="center"/>
    </xf>
    <xf numFmtId="248" fontId="4" fillId="0" borderId="8" applyFont="0" applyFill="0" applyBorder="0" applyProtection="0">
      <alignment horizontal="center"/>
    </xf>
    <xf numFmtId="248" fontId="4" fillId="0" borderId="8" applyFont="0" applyFill="0" applyBorder="0" applyProtection="0">
      <alignment horizontal="center"/>
    </xf>
    <xf numFmtId="248" fontId="4" fillId="0" borderId="8" applyFont="0" applyFill="0" applyBorder="0" applyProtection="0">
      <alignment horizontal="center"/>
    </xf>
    <xf numFmtId="175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245" fontId="95" fillId="0" borderId="0"/>
    <xf numFmtId="249" fontId="95" fillId="0" borderId="8"/>
    <xf numFmtId="0" fontId="117" fillId="0" borderId="0"/>
    <xf numFmtId="0" fontId="117" fillId="0" borderId="0"/>
    <xf numFmtId="211" fontId="118" fillId="36" borderId="35">
      <alignment vertical="top"/>
    </xf>
    <xf numFmtId="0" fontId="120" fillId="37" borderId="8">
      <alignment horizontal="left" vertical="center"/>
    </xf>
    <xf numFmtId="250" fontId="121" fillId="38" borderId="35"/>
    <xf numFmtId="211" fontId="81" fillId="0" borderId="35">
      <alignment horizontal="left" vertical="top"/>
    </xf>
    <xf numFmtId="0" fontId="122" fillId="39" borderId="0">
      <alignment horizontal="left" vertical="center"/>
    </xf>
    <xf numFmtId="211" fontId="27" fillId="0" borderId="21">
      <alignment horizontal="left" vertical="top"/>
    </xf>
    <xf numFmtId="0" fontId="119" fillId="0" borderId="21">
      <alignment horizontal="left" vertical="center"/>
    </xf>
    <xf numFmtId="251" fontId="4" fillId="0" borderId="0" applyFont="0" applyFill="0" applyBorder="0" applyAlignment="0" applyProtection="0"/>
    <xf numFmtId="252" fontId="4" fillId="0" borderId="0" applyFont="0" applyFill="0" applyBorder="0" applyAlignment="0" applyProtection="0"/>
    <xf numFmtId="0" fontId="123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24" fillId="0" borderId="0">
      <alignment vertical="center"/>
    </xf>
    <xf numFmtId="171" fontId="14" fillId="0" borderId="0" applyFont="0" applyFill="0" applyBorder="0" applyAlignment="0" applyProtection="0"/>
    <xf numFmtId="172" fontId="14" fillId="0" borderId="0" applyFont="0" applyFill="0" applyBorder="0" applyAlignment="0" applyProtection="0"/>
    <xf numFmtId="0" fontId="125" fillId="24" borderId="10" applyNumberFormat="0" applyAlignment="0" applyProtection="0"/>
    <xf numFmtId="0" fontId="126" fillId="0" borderId="22" applyNumberFormat="0" applyFill="0" applyAlignment="0" applyProtection="0"/>
    <xf numFmtId="0" fontId="127" fillId="5" borderId="0" applyNumberFormat="0" applyBorder="0" applyAlignment="0" applyProtection="0"/>
    <xf numFmtId="0" fontId="128" fillId="23" borderId="26" applyNumberFormat="0" applyAlignment="0" applyProtection="0"/>
    <xf numFmtId="0" fontId="129" fillId="23" borderId="9" applyNumberFormat="0" applyAlignment="0" applyProtection="0"/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3" fillId="6" borderId="0" applyNumberFormat="0" applyBorder="0" applyAlignment="0" applyProtection="0"/>
    <xf numFmtId="0" fontId="14" fillId="0" borderId="0"/>
    <xf numFmtId="0" fontId="134" fillId="9" borderId="9" applyNumberFormat="0" applyAlignment="0" applyProtection="0"/>
    <xf numFmtId="0" fontId="135" fillId="32" borderId="0" applyNumberFormat="0" applyBorder="0" applyAlignment="0" applyProtection="0"/>
    <xf numFmtId="0" fontId="136" fillId="0" borderId="31" applyNumberFormat="0" applyFill="0" applyAlignment="0" applyProtection="0"/>
    <xf numFmtId="0" fontId="42" fillId="18" borderId="0" applyNumberFormat="0" applyBorder="0" applyAlignment="0" applyProtection="0"/>
    <xf numFmtId="0" fontId="42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21" borderId="0" applyNumberFormat="0" applyBorder="0" applyAlignment="0" applyProtection="0"/>
    <xf numFmtId="0" fontId="137" fillId="33" borderId="25" applyNumberFormat="0" applyFont="0" applyAlignment="0" applyProtection="0"/>
    <xf numFmtId="0" fontId="138" fillId="0" borderId="16" applyNumberFormat="0" applyFill="0" applyAlignment="0" applyProtection="0"/>
    <xf numFmtId="0" fontId="139" fillId="0" borderId="17" applyNumberFormat="0" applyFill="0" applyAlignment="0" applyProtection="0"/>
    <xf numFmtId="0" fontId="140" fillId="0" borderId="18" applyNumberFormat="0" applyFill="0" applyAlignment="0" applyProtection="0"/>
    <xf numFmtId="0" fontId="140" fillId="0" borderId="0" applyNumberFormat="0" applyFill="0" applyBorder="0" applyAlignment="0" applyProtection="0"/>
    <xf numFmtId="0" fontId="141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3" fillId="0" borderId="0">
      <alignment vertical="center"/>
    </xf>
    <xf numFmtId="253" fontId="91" fillId="0" borderId="0">
      <protection locked="0"/>
    </xf>
    <xf numFmtId="0" fontId="142" fillId="0" borderId="0">
      <protection locked="0"/>
    </xf>
    <xf numFmtId="0" fontId="142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40" fontId="144" fillId="0" borderId="0" applyFont="0" applyFill="0" applyBorder="0" applyAlignment="0" applyProtection="0"/>
    <xf numFmtId="38" fontId="144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44" fillId="0" borderId="0" applyFont="0" applyFill="0" applyBorder="0" applyAlignment="0" applyProtection="0"/>
    <xf numFmtId="9" fontId="145" fillId="0" borderId="0" applyBorder="0" applyAlignment="0" applyProtection="0"/>
    <xf numFmtId="0" fontId="146" fillId="0" borderId="0"/>
    <xf numFmtId="254" fontId="147" fillId="0" borderId="0">
      <alignment vertical="center"/>
    </xf>
    <xf numFmtId="41" fontId="148" fillId="0" borderId="0" applyFont="0" applyFill="0" applyBorder="0" applyAlignment="0" applyProtection="0"/>
    <xf numFmtId="43" fontId="4" fillId="0" borderId="0" applyFont="0" applyFill="0" applyBorder="0" applyAlignment="0" applyProtection="0"/>
    <xf numFmtId="4" fontId="143" fillId="0" borderId="0">
      <protection locked="0"/>
    </xf>
    <xf numFmtId="255" fontId="91" fillId="0" borderId="0">
      <protection locked="0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91" fillId="0" borderId="0" applyFont="0" applyFill="0" applyBorder="0" applyAlignment="0" applyProtection="0"/>
    <xf numFmtId="0" fontId="91" fillId="0" borderId="0" applyFont="0" applyFill="0" applyBorder="0" applyAlignment="0" applyProtection="0"/>
    <xf numFmtId="174" fontId="91" fillId="0" borderId="0" applyFont="0" applyFill="0" applyBorder="0" applyAlignment="0" applyProtection="0"/>
    <xf numFmtId="177" fontId="91" fillId="0" borderId="0" applyFont="0" applyFill="0" applyBorder="0" applyAlignment="0" applyProtection="0"/>
    <xf numFmtId="256" fontId="60" fillId="0" borderId="0">
      <protection locked="0"/>
    </xf>
    <xf numFmtId="0" fontId="149" fillId="0" borderId="0"/>
    <xf numFmtId="0" fontId="143" fillId="0" borderId="3">
      <protection locked="0"/>
    </xf>
    <xf numFmtId="257" fontId="60" fillId="0" borderId="0">
      <protection locked="0"/>
    </xf>
    <xf numFmtId="258" fontId="91" fillId="0" borderId="0">
      <protection locked="0"/>
    </xf>
    <xf numFmtId="0" fontId="60" fillId="0" borderId="0"/>
    <xf numFmtId="19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150" fillId="0" borderId="0" applyFont="0" applyFill="0" applyBorder="0" applyAlignment="0" applyProtection="0"/>
    <xf numFmtId="17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151" fillId="0" borderId="0" applyNumberFormat="0" applyFill="0" applyBorder="0" applyAlignment="0" applyProtection="0"/>
    <xf numFmtId="0" fontId="152" fillId="0" borderId="0" applyNumberFormat="0" applyFill="0" applyBorder="0" applyAlignment="0" applyProtection="0">
      <alignment vertical="top"/>
      <protection locked="0"/>
    </xf>
    <xf numFmtId="0" fontId="153" fillId="0" borderId="0"/>
    <xf numFmtId="0" fontId="154" fillId="0" borderId="0"/>
    <xf numFmtId="170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0" fontId="4" fillId="0" borderId="0"/>
    <xf numFmtId="175" fontId="8" fillId="0" borderId="0" applyFont="0" applyFill="0" applyBorder="0" applyAlignment="0" applyProtection="0"/>
    <xf numFmtId="250" fontId="155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156" fillId="0" borderId="0" applyNumberFormat="0" applyFill="0" applyBorder="0" applyAlignment="0" applyProtection="0"/>
    <xf numFmtId="0" fontId="157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172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0" fontId="159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223" fontId="160" fillId="0" borderId="30">
      <alignment horizontal="center"/>
    </xf>
    <xf numFmtId="0" fontId="162" fillId="0" borderId="0"/>
    <xf numFmtId="164" fontId="163" fillId="0" borderId="0" applyFont="0" applyFill="0" applyBorder="0" applyAlignment="0" applyProtection="0"/>
    <xf numFmtId="43" fontId="165" fillId="0" borderId="0" applyFont="0" applyFill="0" applyBorder="0" applyAlignment="0" applyProtection="0"/>
    <xf numFmtId="0" fontId="166" fillId="0" borderId="0">
      <alignment vertical="center"/>
    </xf>
    <xf numFmtId="0" fontId="166" fillId="0" borderId="0">
      <alignment vertical="center"/>
    </xf>
    <xf numFmtId="0" fontId="167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9" fontId="5" fillId="0" borderId="0" applyFont="0" applyFill="0" applyBorder="0" applyAlignment="0" applyProtection="0"/>
    <xf numFmtId="0" fontId="4" fillId="0" borderId="0"/>
    <xf numFmtId="170" fontId="166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172" fillId="0" borderId="0">
      <alignment vertical="center"/>
    </xf>
    <xf numFmtId="170" fontId="167" fillId="0" borderId="0" applyFont="0" applyFill="0" applyBorder="0" applyAlignment="0" applyProtection="0">
      <alignment vertical="center"/>
    </xf>
    <xf numFmtId="0" fontId="59" fillId="0" borderId="0"/>
    <xf numFmtId="0" fontId="166" fillId="0" borderId="0">
      <alignment vertical="center"/>
    </xf>
    <xf numFmtId="170" fontId="167" fillId="0" borderId="0" applyFont="0" applyFill="0" applyBorder="0" applyAlignment="0" applyProtection="0">
      <alignment vertical="center"/>
    </xf>
    <xf numFmtId="0" fontId="166" fillId="0" borderId="0">
      <alignment vertical="center"/>
    </xf>
    <xf numFmtId="0" fontId="172" fillId="0" borderId="0">
      <alignment vertical="center"/>
    </xf>
    <xf numFmtId="0" fontId="162" fillId="0" borderId="0"/>
    <xf numFmtId="0" fontId="162" fillId="0" borderId="0"/>
    <xf numFmtId="0" fontId="162" fillId="0" borderId="0"/>
    <xf numFmtId="0" fontId="4" fillId="0" borderId="0"/>
  </cellStyleXfs>
  <cellXfs count="156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162" fillId="0" borderId="0" xfId="0" applyFont="1" applyAlignment="1">
      <alignment vertical="center"/>
    </xf>
    <xf numFmtId="0" fontId="162" fillId="0" borderId="0" xfId="0" applyFont="1"/>
    <xf numFmtId="0" fontId="1" fillId="0" borderId="0" xfId="0" applyFont="1" applyAlignment="1">
      <alignment horizontal="left"/>
    </xf>
    <xf numFmtId="0" fontId="164" fillId="0" borderId="0" xfId="0" applyFont="1"/>
    <xf numFmtId="0" fontId="164" fillId="0" borderId="0" xfId="1887" applyFont="1" applyAlignment="1">
      <alignment vertical="center"/>
    </xf>
    <xf numFmtId="0" fontId="3" fillId="0" borderId="0" xfId="1887" applyFont="1" applyAlignment="1">
      <alignment vertical="center"/>
    </xf>
    <xf numFmtId="0" fontId="162" fillId="0" borderId="0" xfId="1887" applyFont="1" applyAlignment="1">
      <alignment vertical="center"/>
    </xf>
    <xf numFmtId="0" fontId="162" fillId="0" borderId="0" xfId="1887" applyFont="1"/>
    <xf numFmtId="0" fontId="169" fillId="0" borderId="0" xfId="0" applyFont="1"/>
    <xf numFmtId="0" fontId="170" fillId="0" borderId="0" xfId="0" applyFont="1"/>
    <xf numFmtId="0" fontId="171" fillId="0" borderId="0" xfId="0" applyFont="1"/>
    <xf numFmtId="0" fontId="173" fillId="0" borderId="0" xfId="0" applyFont="1"/>
    <xf numFmtId="0" fontId="2" fillId="0" borderId="0" xfId="0" applyFont="1" applyAlignment="1">
      <alignment horizontal="left"/>
    </xf>
    <xf numFmtId="0" fontId="2" fillId="41" borderId="0" xfId="0" applyFont="1" applyFill="1" applyAlignment="1">
      <alignment horizontal="left"/>
    </xf>
    <xf numFmtId="0" fontId="1" fillId="41" borderId="0" xfId="0" applyFont="1" applyFill="1" applyAlignment="1">
      <alignment horizontal="left"/>
    </xf>
    <xf numFmtId="0" fontId="169" fillId="0" borderId="8" xfId="1887" applyFont="1" applyBorder="1" applyAlignment="1">
      <alignment horizontal="center" vertical="center"/>
    </xf>
    <xf numFmtId="0" fontId="169" fillId="0" borderId="8" xfId="1887" applyFont="1" applyBorder="1" applyAlignment="1">
      <alignment horizontal="center" vertical="center" wrapText="1"/>
    </xf>
    <xf numFmtId="0" fontId="0" fillId="0" borderId="0" xfId="0" applyBorder="1"/>
    <xf numFmtId="260" fontId="178" fillId="40" borderId="8" xfId="1909" applyNumberFormat="1" applyFont="1" applyFill="1" applyBorder="1" applyAlignment="1">
      <alignment horizontal="center" vertical="center"/>
    </xf>
    <xf numFmtId="0" fontId="180" fillId="0" borderId="0" xfId="1887" applyFont="1" applyAlignment="1">
      <alignment vertical="center"/>
    </xf>
    <xf numFmtId="0" fontId="114" fillId="0" borderId="0" xfId="1887" applyFont="1" applyAlignment="1">
      <alignment vertical="center"/>
    </xf>
    <xf numFmtId="0" fontId="177" fillId="0" borderId="0" xfId="1887" applyFont="1" applyAlignment="1">
      <alignment vertical="center"/>
    </xf>
    <xf numFmtId="0" fontId="164" fillId="0" borderId="8" xfId="1887" applyFont="1" applyBorder="1" applyAlignment="1">
      <alignment horizontal="center" vertical="center"/>
    </xf>
    <xf numFmtId="0" fontId="164" fillId="0" borderId="8" xfId="1887" applyFont="1" applyBorder="1" applyAlignment="1">
      <alignment horizontal="center" vertical="center" wrapText="1"/>
    </xf>
    <xf numFmtId="0" fontId="162" fillId="0" borderId="0" xfId="1887" applyAlignment="1">
      <alignment vertical="center"/>
    </xf>
    <xf numFmtId="0" fontId="162" fillId="0" borderId="0" xfId="1887"/>
    <xf numFmtId="0" fontId="183" fillId="0" borderId="0" xfId="0" applyFont="1" applyAlignment="1">
      <alignment vertical="center"/>
    </xf>
    <xf numFmtId="0" fontId="179" fillId="0" borderId="0" xfId="0" applyFont="1"/>
    <xf numFmtId="0" fontId="184" fillId="0" borderId="0" xfId="0" applyFont="1"/>
    <xf numFmtId="0" fontId="185" fillId="0" borderId="0" xfId="0" applyFont="1"/>
    <xf numFmtId="0" fontId="176" fillId="40" borderId="8" xfId="1909" applyFont="1" applyFill="1" applyBorder="1" applyAlignment="1">
      <alignment horizontal="left" vertical="center" wrapText="1"/>
    </xf>
    <xf numFmtId="1" fontId="186" fillId="22" borderId="0" xfId="0" applyNumberFormat="1" applyFont="1" applyFill="1" applyAlignment="1">
      <alignment vertical="center"/>
    </xf>
    <xf numFmtId="1" fontId="186" fillId="22" borderId="0" xfId="0" applyNumberFormat="1" applyFont="1" applyFill="1" applyAlignment="1">
      <alignment horizontal="center" vertical="center"/>
    </xf>
    <xf numFmtId="170" fontId="186" fillId="0" borderId="0" xfId="1900" applyFont="1" applyFill="1" applyAlignment="1">
      <alignment horizontal="center" vertical="center"/>
    </xf>
    <xf numFmtId="261" fontId="186" fillId="22" borderId="0" xfId="1900" applyNumberFormat="1" applyFont="1" applyFill="1" applyAlignment="1">
      <alignment horizontal="right" vertical="center"/>
    </xf>
    <xf numFmtId="0" fontId="186" fillId="22" borderId="0" xfId="0" applyFont="1" applyFill="1" applyAlignment="1">
      <alignment vertical="center"/>
    </xf>
    <xf numFmtId="0" fontId="174" fillId="0" borderId="0" xfId="0" applyFont="1" applyAlignment="1">
      <alignment vertical="center"/>
    </xf>
    <xf numFmtId="0" fontId="174" fillId="0" borderId="0" xfId="0" applyFont="1"/>
    <xf numFmtId="0" fontId="174" fillId="0" borderId="0" xfId="0" applyFont="1" applyBorder="1" applyAlignment="1">
      <alignment vertical="center"/>
    </xf>
    <xf numFmtId="0" fontId="174" fillId="0" borderId="0" xfId="0" applyFont="1" applyBorder="1"/>
    <xf numFmtId="0" fontId="188" fillId="0" borderId="0" xfId="0" applyFont="1"/>
    <xf numFmtId="230" fontId="177" fillId="40" borderId="0" xfId="1195" applyFont="1" applyFill="1" applyAlignment="1" applyProtection="1">
      <alignment horizontal="center" vertical="center"/>
      <protection hidden="1"/>
    </xf>
    <xf numFmtId="261" fontId="175" fillId="0" borderId="0" xfId="1900" applyNumberFormat="1" applyFont="1" applyBorder="1" applyAlignment="1"/>
    <xf numFmtId="0" fontId="175" fillId="0" borderId="0" xfId="0" applyFont="1" applyBorder="1"/>
    <xf numFmtId="230" fontId="114" fillId="40" borderId="0" xfId="1195" applyFont="1" applyFill="1" applyAlignment="1" applyProtection="1">
      <alignment horizontal="left" vertical="center"/>
      <protection hidden="1"/>
    </xf>
    <xf numFmtId="0" fontId="2" fillId="42" borderId="8" xfId="0" applyFont="1" applyFill="1" applyBorder="1" applyAlignment="1">
      <alignment horizontal="center" vertical="center" wrapText="1"/>
    </xf>
    <xf numFmtId="0" fontId="188" fillId="40" borderId="0" xfId="0" applyFont="1" applyFill="1"/>
    <xf numFmtId="1" fontId="164" fillId="42" borderId="8" xfId="0" applyNumberFormat="1" applyFont="1" applyFill="1" applyBorder="1" applyAlignment="1">
      <alignment horizontal="center" vertical="center"/>
    </xf>
    <xf numFmtId="0" fontId="164" fillId="42" borderId="8" xfId="0" applyFont="1" applyFill="1" applyBorder="1" applyAlignment="1">
      <alignment horizontal="center" vertical="center" wrapText="1"/>
    </xf>
    <xf numFmtId="261" fontId="164" fillId="42" borderId="8" xfId="1900" applyNumberFormat="1" applyFont="1" applyFill="1" applyBorder="1" applyAlignment="1">
      <alignment horizontal="center" vertical="center"/>
    </xf>
    <xf numFmtId="261" fontId="164" fillId="42" borderId="8" xfId="1900" quotePrefix="1" applyNumberFormat="1" applyFont="1" applyFill="1" applyBorder="1" applyAlignment="1">
      <alignment horizontal="center" vertical="center"/>
    </xf>
    <xf numFmtId="262" fontId="164" fillId="42" borderId="8" xfId="1900" quotePrefix="1" applyNumberFormat="1" applyFont="1" applyFill="1" applyBorder="1" applyAlignment="1">
      <alignment horizontal="center" vertical="center"/>
    </xf>
    <xf numFmtId="0" fontId="176" fillId="42" borderId="8" xfId="0" applyFont="1" applyFill="1" applyBorder="1" applyAlignment="1">
      <alignment horizontal="center" vertical="center" wrapText="1"/>
    </xf>
    <xf numFmtId="1" fontId="164" fillId="40" borderId="0" xfId="0" applyNumberFormat="1" applyFont="1" applyFill="1" applyBorder="1" applyAlignment="1">
      <alignment horizontal="center" vertical="center"/>
    </xf>
    <xf numFmtId="14" fontId="164" fillId="40" borderId="0" xfId="0" applyNumberFormat="1" applyFont="1" applyFill="1" applyBorder="1" applyAlignment="1">
      <alignment horizontal="center" vertical="center"/>
    </xf>
    <xf numFmtId="0" fontId="164" fillId="40" borderId="0" xfId="0" applyFont="1" applyFill="1" applyBorder="1" applyAlignment="1">
      <alignment horizontal="center" vertical="center" wrapText="1"/>
    </xf>
    <xf numFmtId="0" fontId="188" fillId="0" borderId="0" xfId="0" applyFont="1" applyAlignment="1">
      <alignment vertical="center"/>
    </xf>
    <xf numFmtId="0" fontId="188" fillId="0" borderId="0" xfId="0" applyFont="1" applyAlignment="1">
      <alignment horizontal="center"/>
    </xf>
    <xf numFmtId="260" fontId="176" fillId="40" borderId="8" xfId="1909" applyNumberFormat="1" applyFont="1" applyFill="1" applyBorder="1" applyAlignment="1">
      <alignment horizontal="center" vertical="center"/>
    </xf>
    <xf numFmtId="0" fontId="177" fillId="40" borderId="8" xfId="1887" applyFont="1" applyFill="1" applyBorder="1" applyAlignment="1">
      <alignment horizontal="center" vertical="center" wrapText="1"/>
    </xf>
    <xf numFmtId="0" fontId="173" fillId="0" borderId="0" xfId="0" applyFont="1" applyAlignment="1">
      <alignment horizontal="center"/>
    </xf>
    <xf numFmtId="0" fontId="164" fillId="0" borderId="0" xfId="0" applyFont="1" applyAlignment="1">
      <alignment horizontal="center"/>
    </xf>
    <xf numFmtId="0" fontId="164" fillId="0" borderId="0" xfId="1887" applyFont="1" applyAlignment="1">
      <alignment horizontal="right" vertical="center"/>
    </xf>
    <xf numFmtId="0" fontId="164" fillId="0" borderId="0" xfId="1887" applyFont="1" applyAlignment="1">
      <alignment horizontal="center"/>
    </xf>
    <xf numFmtId="14" fontId="175" fillId="40" borderId="8" xfId="1893" applyNumberFormat="1" applyFont="1" applyFill="1" applyBorder="1" applyAlignment="1">
      <alignment horizontal="center" vertical="center"/>
    </xf>
    <xf numFmtId="0" fontId="177" fillId="40" borderId="8" xfId="1887" applyFont="1" applyFill="1" applyBorder="1" applyAlignment="1">
      <alignment horizontal="center" vertical="center"/>
    </xf>
    <xf numFmtId="0" fontId="178" fillId="40" borderId="8" xfId="0" applyFont="1" applyFill="1" applyBorder="1" applyAlignment="1">
      <alignment horizontal="center" vertical="center"/>
    </xf>
    <xf numFmtId="259" fontId="178" fillId="40" borderId="8" xfId="0" applyNumberFormat="1" applyFont="1" applyFill="1" applyBorder="1" applyAlignment="1">
      <alignment horizontal="center" vertical="center"/>
    </xf>
    <xf numFmtId="0" fontId="49" fillId="0" borderId="8" xfId="1887" applyFont="1" applyBorder="1" applyAlignment="1">
      <alignment horizontal="center" vertical="center"/>
    </xf>
    <xf numFmtId="0" fontId="49" fillId="0" borderId="8" xfId="1887" applyFont="1" applyBorder="1" applyAlignment="1">
      <alignment horizontal="center" vertical="center" wrapText="1"/>
    </xf>
    <xf numFmtId="0" fontId="176" fillId="40" borderId="8" xfId="1909" applyFont="1" applyFill="1" applyBorder="1" applyAlignment="1">
      <alignment horizontal="center" vertical="center"/>
    </xf>
    <xf numFmtId="0" fontId="174" fillId="0" borderId="8" xfId="0" applyFont="1" applyBorder="1" applyAlignment="1">
      <alignment horizontal="center" vertical="center"/>
    </xf>
    <xf numFmtId="0" fontId="176" fillId="0" borderId="8" xfId="0" applyFont="1" applyBorder="1"/>
    <xf numFmtId="0" fontId="175" fillId="40" borderId="8" xfId="0" applyFont="1" applyFill="1" applyBorder="1" applyAlignment="1">
      <alignment horizontal="center" vertical="center"/>
    </xf>
    <xf numFmtId="2" fontId="186" fillId="22" borderId="0" xfId="1900" applyNumberFormat="1" applyFont="1" applyFill="1" applyAlignment="1">
      <alignment vertical="center"/>
    </xf>
    <xf numFmtId="2" fontId="175" fillId="40" borderId="8" xfId="0" applyNumberFormat="1" applyFont="1" applyFill="1" applyBorder="1" applyAlignment="1">
      <alignment horizontal="center" vertical="center"/>
    </xf>
    <xf numFmtId="2" fontId="164" fillId="42" borderId="8" xfId="1900" quotePrefix="1" applyNumberFormat="1" applyFont="1" applyFill="1" applyBorder="1" applyAlignment="1">
      <alignment horizontal="center" vertical="center"/>
    </xf>
    <xf numFmtId="2" fontId="188" fillId="0" borderId="0" xfId="0" applyNumberFormat="1" applyFont="1"/>
    <xf numFmtId="2" fontId="0" fillId="0" borderId="0" xfId="0" applyNumberFormat="1"/>
    <xf numFmtId="0" fontId="176" fillId="40" borderId="8" xfId="0" applyFont="1" applyFill="1" applyBorder="1" applyAlignment="1">
      <alignment horizontal="center" vertical="center"/>
    </xf>
    <xf numFmtId="260" fontId="177" fillId="40" borderId="8" xfId="1887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175" fillId="40" borderId="8" xfId="0" applyFont="1" applyFill="1" applyBorder="1" applyAlignment="1">
      <alignment horizontal="center" vertical="center"/>
    </xf>
    <xf numFmtId="0" fontId="166" fillId="0" borderId="33" xfId="0" applyFont="1" applyBorder="1" applyAlignment="1">
      <alignment horizontal="center" vertical="center"/>
    </xf>
    <xf numFmtId="0" fontId="166" fillId="0" borderId="8" xfId="0" applyFont="1" applyBorder="1" applyAlignment="1">
      <alignment horizontal="center" vertical="center"/>
    </xf>
    <xf numFmtId="259" fontId="166" fillId="0" borderId="8" xfId="0" applyNumberFormat="1" applyFont="1" applyBorder="1" applyAlignment="1">
      <alignment horizontal="center" vertical="center"/>
    </xf>
    <xf numFmtId="2" fontId="49" fillId="0" borderId="8" xfId="1887" applyNumberFormat="1" applyFont="1" applyBorder="1" applyAlignment="1">
      <alignment horizontal="center" vertical="center" wrapText="1"/>
    </xf>
    <xf numFmtId="0" fontId="175" fillId="40" borderId="8" xfId="0" applyFont="1" applyFill="1" applyBorder="1" applyAlignment="1">
      <alignment horizontal="center" vertical="center" wrapText="1"/>
    </xf>
    <xf numFmtId="0" fontId="114" fillId="40" borderId="8" xfId="1887" applyFont="1" applyFill="1" applyBorder="1" applyAlignment="1">
      <alignment horizontal="center" vertical="center" wrapText="1"/>
    </xf>
    <xf numFmtId="0" fontId="175" fillId="43" borderId="8" xfId="1893" applyNumberFormat="1" applyFont="1" applyFill="1" applyBorder="1" applyAlignment="1">
      <alignment horizontal="center" vertical="center"/>
    </xf>
    <xf numFmtId="14" fontId="175" fillId="43" borderId="8" xfId="1893" applyNumberFormat="1" applyFont="1" applyFill="1" applyBorder="1" applyAlignment="1">
      <alignment horizontal="center" vertical="center"/>
    </xf>
    <xf numFmtId="263" fontId="177" fillId="0" borderId="8" xfId="1905" applyNumberFormat="1" applyFont="1" applyFill="1" applyBorder="1" applyAlignment="1">
      <alignment horizontal="center" vertical="center"/>
    </xf>
    <xf numFmtId="0" fontId="49" fillId="0" borderId="33" xfId="1887" applyFont="1" applyBorder="1" applyAlignment="1">
      <alignment horizontal="center" vertical="center" wrapText="1"/>
    </xf>
    <xf numFmtId="0" fontId="114" fillId="40" borderId="8" xfId="1887" applyFont="1" applyFill="1" applyBorder="1" applyAlignment="1">
      <alignment horizontal="center" vertical="center" wrapText="1"/>
    </xf>
    <xf numFmtId="260" fontId="176" fillId="40" borderId="8" xfId="1909" applyNumberFormat="1" applyFont="1" applyFill="1" applyBorder="1" applyAlignment="1">
      <alignment horizontal="center" vertical="center"/>
    </xf>
    <xf numFmtId="0" fontId="177" fillId="40" borderId="8" xfId="1887" applyFont="1" applyFill="1" applyBorder="1" applyAlignment="1">
      <alignment horizontal="center" vertical="center" wrapText="1"/>
    </xf>
    <xf numFmtId="0" fontId="177" fillId="40" borderId="35" xfId="1887" applyFont="1" applyFill="1" applyBorder="1" applyAlignment="1">
      <alignment horizontal="center" vertical="center" wrapText="1"/>
    </xf>
    <xf numFmtId="0" fontId="176" fillId="40" borderId="8" xfId="0" applyFont="1" applyFill="1" applyBorder="1" applyAlignment="1">
      <alignment horizontal="center" vertical="center" wrapText="1"/>
    </xf>
    <xf numFmtId="0" fontId="190" fillId="40" borderId="8" xfId="1887" applyFont="1" applyFill="1" applyBorder="1" applyAlignment="1">
      <alignment horizontal="center" vertical="center"/>
    </xf>
    <xf numFmtId="0" fontId="190" fillId="40" borderId="8" xfId="1887" applyFont="1" applyFill="1" applyBorder="1" applyAlignment="1">
      <alignment horizontal="center" vertical="center" wrapText="1"/>
    </xf>
    <xf numFmtId="0" fontId="190" fillId="40" borderId="8" xfId="0" applyFont="1" applyFill="1" applyBorder="1" applyAlignment="1">
      <alignment horizontal="center" vertical="center"/>
    </xf>
    <xf numFmtId="0" fontId="176" fillId="40" borderId="8" xfId="1909" applyFont="1" applyFill="1" applyBorder="1" applyAlignment="1">
      <alignment horizontal="left" vertical="center"/>
    </xf>
    <xf numFmtId="0" fontId="190" fillId="40" borderId="35" xfId="1887" applyFont="1" applyFill="1" applyBorder="1" applyAlignment="1">
      <alignment horizontal="center" vertical="center" wrapText="1"/>
    </xf>
    <xf numFmtId="0" fontId="177" fillId="40" borderId="8" xfId="1887" applyFont="1" applyFill="1" applyBorder="1" applyAlignment="1">
      <alignment vertical="center" wrapText="1"/>
    </xf>
    <xf numFmtId="263" fontId="3" fillId="43" borderId="8" xfId="1905" applyNumberFormat="1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left" vertical="center" wrapText="1"/>
    </xf>
    <xf numFmtId="263" fontId="177" fillId="41" borderId="8" xfId="1905" applyNumberFormat="1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left" vertical="center"/>
    </xf>
    <xf numFmtId="0" fontId="177" fillId="43" borderId="8" xfId="1893" applyNumberFormat="1" applyFont="1" applyFill="1" applyBorder="1" applyAlignment="1">
      <alignment horizontal="center" vertical="center"/>
    </xf>
    <xf numFmtId="263" fontId="182" fillId="43" borderId="8" xfId="1905" applyNumberFormat="1" applyFont="1" applyFill="1" applyBorder="1" applyAlignment="1">
      <alignment horizontal="right" vertical="center"/>
    </xf>
    <xf numFmtId="0" fontId="166" fillId="0" borderId="33" xfId="0" applyFont="1" applyBorder="1" applyAlignment="1">
      <alignment horizontal="center" vertical="center"/>
    </xf>
    <xf numFmtId="0" fontId="177" fillId="40" borderId="8" xfId="1887" applyFont="1" applyFill="1" applyBorder="1" applyAlignment="1">
      <alignment horizontal="center" vertical="center" wrapText="1"/>
    </xf>
    <xf numFmtId="0" fontId="177" fillId="40" borderId="8" xfId="1887" applyFont="1" applyFill="1" applyBorder="1" applyAlignment="1">
      <alignment horizontal="center" vertical="center" wrapText="1"/>
    </xf>
    <xf numFmtId="0" fontId="178" fillId="40" borderId="8" xfId="0" applyFont="1" applyFill="1" applyBorder="1" applyAlignment="1">
      <alignment horizontal="center" vertical="center"/>
    </xf>
    <xf numFmtId="0" fontId="164" fillId="0" borderId="0" xfId="1887" applyFont="1" applyAlignment="1">
      <alignment horizontal="center"/>
    </xf>
    <xf numFmtId="0" fontId="164" fillId="0" borderId="0" xfId="1887" applyFont="1" applyAlignment="1">
      <alignment horizontal="right" vertical="center"/>
    </xf>
    <xf numFmtId="0" fontId="177" fillId="40" borderId="35" xfId="1887" applyFont="1" applyFill="1" applyBorder="1" applyAlignment="1">
      <alignment horizontal="center" vertical="center" wrapText="1"/>
    </xf>
    <xf numFmtId="0" fontId="114" fillId="40" borderId="8" xfId="1887" applyFont="1" applyFill="1" applyBorder="1" applyAlignment="1">
      <alignment horizontal="center" vertical="center" wrapText="1"/>
    </xf>
    <xf numFmtId="0" fontId="177" fillId="40" borderId="8" xfId="1887" applyFont="1" applyFill="1" applyBorder="1" applyAlignment="1">
      <alignment horizontal="center" vertical="center" wrapText="1"/>
    </xf>
    <xf numFmtId="0" fontId="177" fillId="40" borderId="35" xfId="1887" applyFont="1" applyFill="1" applyBorder="1" applyAlignment="1">
      <alignment horizontal="center" vertical="center" wrapText="1"/>
    </xf>
    <xf numFmtId="0" fontId="177" fillId="40" borderId="35" xfId="1887" applyFont="1" applyFill="1" applyBorder="1" applyAlignment="1">
      <alignment horizontal="center" vertical="center" wrapText="1"/>
    </xf>
    <xf numFmtId="0" fontId="177" fillId="40" borderId="8" xfId="1887" applyFont="1" applyFill="1" applyBorder="1" applyAlignment="1">
      <alignment horizontal="center" vertical="center" wrapText="1"/>
    </xf>
    <xf numFmtId="0" fontId="178" fillId="40" borderId="8" xfId="0" applyFont="1" applyFill="1" applyBorder="1" applyAlignment="1">
      <alignment horizontal="center" vertical="center"/>
    </xf>
    <xf numFmtId="0" fontId="179" fillId="0" borderId="0" xfId="1887" applyFont="1" applyAlignment="1">
      <alignment horizontal="center" vertical="center"/>
    </xf>
    <xf numFmtId="0" fontId="181" fillId="0" borderId="0" xfId="1887" applyFont="1" applyAlignment="1">
      <alignment horizontal="center"/>
    </xf>
    <xf numFmtId="0" fontId="164" fillId="0" borderId="0" xfId="1887" applyFont="1" applyAlignment="1">
      <alignment horizontal="right" vertical="center"/>
    </xf>
    <xf numFmtId="0" fontId="179" fillId="0" borderId="0" xfId="0" applyFont="1" applyAlignment="1">
      <alignment horizontal="center"/>
    </xf>
    <xf numFmtId="0" fontId="184" fillId="0" borderId="0" xfId="0" applyFont="1" applyAlignment="1">
      <alignment horizontal="center"/>
    </xf>
    <xf numFmtId="0" fontId="114" fillId="40" borderId="8" xfId="1887" applyFont="1" applyFill="1" applyBorder="1" applyAlignment="1">
      <alignment horizontal="center" vertical="center" wrapText="1"/>
    </xf>
    <xf numFmtId="0" fontId="177" fillId="40" borderId="35" xfId="1887" applyFont="1" applyFill="1" applyBorder="1" applyAlignment="1">
      <alignment horizontal="center" vertical="center" wrapText="1"/>
    </xf>
    <xf numFmtId="0" fontId="177" fillId="40" borderId="21" xfId="1887" applyFont="1" applyFill="1" applyBorder="1" applyAlignment="1">
      <alignment horizontal="center" vertical="center" wrapText="1"/>
    </xf>
    <xf numFmtId="0" fontId="177" fillId="40" borderId="11" xfId="1887" applyFont="1" applyFill="1" applyBorder="1" applyAlignment="1">
      <alignment horizontal="center" vertical="center" wrapText="1"/>
    </xf>
    <xf numFmtId="0" fontId="179" fillId="0" borderId="0" xfId="1887" applyFont="1" applyAlignment="1">
      <alignment horizontal="center"/>
    </xf>
    <xf numFmtId="0" fontId="164" fillId="0" borderId="0" xfId="1887" applyFont="1" applyAlignment="1">
      <alignment horizontal="center"/>
    </xf>
    <xf numFmtId="0" fontId="168" fillId="0" borderId="0" xfId="1887" applyFont="1" applyAlignment="1">
      <alignment horizontal="center"/>
    </xf>
    <xf numFmtId="0" fontId="166" fillId="0" borderId="30" xfId="0" applyFont="1" applyBorder="1" applyAlignment="1">
      <alignment horizontal="center" vertical="center"/>
    </xf>
    <xf numFmtId="0" fontId="166" fillId="0" borderId="33" xfId="0" applyFont="1" applyBorder="1" applyAlignment="1">
      <alignment horizontal="center" vertical="center"/>
    </xf>
    <xf numFmtId="0" fontId="164" fillId="0" borderId="0" xfId="1887" applyFont="1" applyAlignment="1">
      <alignment horizontal="center" vertical="center"/>
    </xf>
    <xf numFmtId="230" fontId="114" fillId="40" borderId="0" xfId="1195" applyFont="1" applyFill="1" applyAlignment="1" applyProtection="1">
      <alignment horizontal="left" vertical="center"/>
      <protection hidden="1"/>
    </xf>
    <xf numFmtId="230" fontId="177" fillId="40" borderId="0" xfId="1195" applyFont="1" applyFill="1" applyAlignment="1" applyProtection="1">
      <alignment horizontal="left" vertical="center"/>
      <protection hidden="1"/>
    </xf>
    <xf numFmtId="0" fontId="174" fillId="0" borderId="0" xfId="0" applyFont="1" applyAlignment="1">
      <alignment horizontal="left" vertical="center"/>
    </xf>
    <xf numFmtId="0" fontId="174" fillId="0" borderId="0" xfId="0" applyFont="1" applyBorder="1" applyAlignment="1">
      <alignment horizontal="left" vertical="center"/>
    </xf>
    <xf numFmtId="0" fontId="187" fillId="0" borderId="0" xfId="1914" applyNumberFormat="1" applyFont="1" applyAlignment="1">
      <alignment horizontal="center" vertical="center" shrinkToFit="1"/>
    </xf>
    <xf numFmtId="0" fontId="164" fillId="0" borderId="0" xfId="1914" applyNumberFormat="1" applyFont="1" applyAlignment="1">
      <alignment horizontal="center" vertical="center" shrinkToFit="1"/>
    </xf>
    <xf numFmtId="0" fontId="114" fillId="0" borderId="0" xfId="0" applyFont="1" applyAlignment="1">
      <alignment horizontal="left" vertical="center"/>
    </xf>
    <xf numFmtId="0" fontId="114" fillId="0" borderId="0" xfId="0" applyFont="1" applyAlignment="1">
      <alignment horizontal="center" vertical="center"/>
    </xf>
    <xf numFmtId="0" fontId="2" fillId="42" borderId="8" xfId="0" applyFont="1" applyFill="1" applyBorder="1" applyAlignment="1">
      <alignment horizontal="center" vertical="center" wrapText="1"/>
    </xf>
    <xf numFmtId="2" fontId="2" fillId="42" borderId="8" xfId="0" applyNumberFormat="1" applyFont="1" applyFill="1" applyBorder="1" applyAlignment="1">
      <alignment horizontal="center" vertical="center" wrapText="1"/>
    </xf>
    <xf numFmtId="0" fontId="188" fillId="0" borderId="0" xfId="0" applyFont="1" applyAlignment="1">
      <alignment horizontal="center" vertical="center"/>
    </xf>
    <xf numFmtId="0" fontId="2" fillId="42" borderId="8" xfId="0" applyFont="1" applyFill="1" applyBorder="1" applyAlignment="1">
      <alignment horizontal="center" vertical="center"/>
    </xf>
    <xf numFmtId="0" fontId="164" fillId="42" borderId="8" xfId="0" applyFont="1" applyFill="1" applyBorder="1" applyAlignment="1">
      <alignment horizontal="center" vertical="center" wrapText="1"/>
    </xf>
    <xf numFmtId="170" fontId="189" fillId="40" borderId="34" xfId="1900" quotePrefix="1" applyFont="1" applyFill="1" applyBorder="1" applyAlignment="1">
      <alignment horizontal="center" vertical="center"/>
    </xf>
    <xf numFmtId="0" fontId="164" fillId="0" borderId="0" xfId="1197" applyFont="1" applyAlignment="1">
      <alignment horizontal="left" vertical="center"/>
    </xf>
  </cellXfs>
  <cellStyles count="1915">
    <cellStyle name="_x0001_" xfId="1"/>
    <cellStyle name="          _x000d__x000a_shell=progman.exe_x000d__x000a_m" xfId="2"/>
    <cellStyle name="_x0001_ 2" xfId="3"/>
    <cellStyle name="_x0001_ 3" xfId="4"/>
    <cellStyle name="_x0001_ 4" xfId="5"/>
    <cellStyle name="_x0001_ 5" xfId="6"/>
    <cellStyle name=",." xfId="7"/>
    <cellStyle name="." xfId="8"/>
    <cellStyle name="??" xfId="9"/>
    <cellStyle name="?? [0.00]_List-dwg" xfId="10"/>
    <cellStyle name="?? [0]" xfId="11"/>
    <cellStyle name="?_x001d_??%U©÷u&amp;H©÷9_x0008_?_x0009_s_x000a__x0007__x0001__x0001_" xfId="12"/>
    <cellStyle name="???? [0.00]_List-dwg" xfId="13"/>
    <cellStyle name="??????????????????? [0]_FTC_OFFER" xfId="14"/>
    <cellStyle name="???????????????????_FTC_OFFER" xfId="15"/>
    <cellStyle name="????_FTC_OFFER" xfId="16"/>
    <cellStyle name="???[0]_Book1" xfId="17"/>
    <cellStyle name="???_???" xfId="18"/>
    <cellStyle name="??_ ??? ???? " xfId="19"/>
    <cellStyle name="??A? [0]_ÿÿÿÿÿÿ_1_¢¬???¢â? " xfId="20"/>
    <cellStyle name="??A?_ÿÿÿÿÿÿ_1_¢¬???¢â? " xfId="21"/>
    <cellStyle name="?¡±¢¥?_?¨ù??¢´¢¥_¢¬???¢â? " xfId="22"/>
    <cellStyle name="?ðÇ%U?&amp;H?_x0008_?s_x000a__x0007__x0001__x0001_" xfId="23"/>
    <cellStyle name="_?_BOOKSHIP" xfId="24"/>
    <cellStyle name="__ [0.00]_PRODUCT DETAIL Q1" xfId="25"/>
    <cellStyle name="__ [0]_1202" xfId="26"/>
    <cellStyle name="__ [0]_1202_Result Red Store Jun" xfId="27"/>
    <cellStyle name="__ [0]_Book1" xfId="28"/>
    <cellStyle name="___(____)______" xfId="29"/>
    <cellStyle name="___[0]_Book1" xfId="30"/>
    <cellStyle name="____ [0.00]_PRODUCT DETAIL Q1" xfId="31"/>
    <cellStyle name="_____PRODUCT DETAIL Q1" xfId="32"/>
    <cellStyle name="____95" xfId="33"/>
    <cellStyle name="____Book1" xfId="34"/>
    <cellStyle name="___1202" xfId="35"/>
    <cellStyle name="___1202_Result Red Store Jun" xfId="36"/>
    <cellStyle name="___1202_Result Red Store Jun_1" xfId="37"/>
    <cellStyle name="___Book1" xfId="38"/>
    <cellStyle name="___Book1_Result Red Store Jun" xfId="39"/>
    <cellStyle name="___kc-elec system check list" xfId="40"/>
    <cellStyle name="___kc-elec system check list_Dat kinh so   -17082012-Nha A Trung TGD" xfId="41"/>
    <cellStyle name="___kc-elec system check list_KINH NHA CO NGA 18-09-12" xfId="42"/>
    <cellStyle name="___kc-elec system check list_thong ke kinh PHONG mau-sxl1" xfId="43"/>
    <cellStyle name="___kc-elec system check list_thong ke kinh Tang mau-sxl1" xfId="44"/>
    <cellStyle name="___PRODUCT DETAIL Q1" xfId="45"/>
    <cellStyle name="_131_138_1311_2006" xfId="46"/>
    <cellStyle name="_3338.2006" xfId="47"/>
    <cellStyle name="_3388 BK SG" xfId="48"/>
    <cellStyle name="_3388 BK SG_BAO GIA-moi" xfId="49"/>
    <cellStyle name="_3388 BK SG_BAO GIA-moi 2" xfId="50"/>
    <cellStyle name="_3388 BK SG_BAO GIA-moi 3" xfId="51"/>
    <cellStyle name="_3388 BK SG_BAO GIA-moi 4" xfId="52"/>
    <cellStyle name="_3388 BK SG_BAO GIA-moi 5" xfId="53"/>
    <cellStyle name="_3388 BK SG_BAO GIA-moi_Dat kinh so   -17082012-Nha A Trung TGD" xfId="54"/>
    <cellStyle name="_3388 BK SG_BAO GIA-moi_KINH NHA CO NGA 18-09-12" xfId="55"/>
    <cellStyle name="_3388 BK SG_BAO GIA-moi_thong ke kinh PHONG mau-sxl1" xfId="56"/>
    <cellStyle name="_3388 BK SG_BAO GIA-moi_thong ke kinh Tang mau-sxl1" xfId="57"/>
    <cellStyle name="_3388 BK SG_CSMH 1C" xfId="58"/>
    <cellStyle name="_3388 BK SG_Sliding door&amp;window SR_SF" xfId="59"/>
    <cellStyle name="_3388 BK SG_Sliding door&amp;window SR_SF 2" xfId="60"/>
    <cellStyle name="_3388 BK SG_Sliding door&amp;window SR_SF 3" xfId="61"/>
    <cellStyle name="_3388 BK SG_Sliding door&amp;window SR_SF 4" xfId="62"/>
    <cellStyle name="_3388 BK SG_Sliding door&amp;window SR_SF 5" xfId="63"/>
    <cellStyle name="_3388 BK SG_Sliding door&amp;window SR_SF_Dat kinh so   -17082012-Nha A Trung TGD" xfId="64"/>
    <cellStyle name="_3388 BK SG_Sliding door&amp;window SR_SF_KINH NHA CO NGA 18-09-12" xfId="65"/>
    <cellStyle name="_3388 BK SG_Sliding door&amp;window SR_SF_thong ke kinh PHONG mau-sxl1" xfId="66"/>
    <cellStyle name="_3388 BK SG_Sliding door&amp;window SR_SF_thong ke kinh Tang mau-sxl1" xfId="67"/>
    <cellStyle name="_5113 BANG KE SG" xfId="68"/>
    <cellStyle name="_5113 BANG KE SG_BAO GIA-moi" xfId="69"/>
    <cellStyle name="_5113 BANG KE SG_BAO GIA-moi 2" xfId="70"/>
    <cellStyle name="_5113 BANG KE SG_BAO GIA-moi 3" xfId="71"/>
    <cellStyle name="_5113 BANG KE SG_BAO GIA-moi 4" xfId="72"/>
    <cellStyle name="_5113 BANG KE SG_BAO GIA-moi 5" xfId="73"/>
    <cellStyle name="_5113 BANG KE SG_BAO GIA-moi_Dat kinh so   -17082012-Nha A Trung TGD" xfId="74"/>
    <cellStyle name="_5113 BANG KE SG_BAO GIA-moi_KINH NHA CO NGA 18-09-12" xfId="75"/>
    <cellStyle name="_5113 BANG KE SG_BAO GIA-moi_thong ke kinh PHONG mau-sxl1" xfId="76"/>
    <cellStyle name="_5113 BANG KE SG_BAO GIA-moi_thong ke kinh Tang mau-sxl1" xfId="77"/>
    <cellStyle name="_5113 BANG KE SG_CSMH 1C" xfId="78"/>
    <cellStyle name="_5113 BANG KE SG_Sliding door&amp;window SR_SF" xfId="79"/>
    <cellStyle name="_5113 BANG KE SG_Sliding door&amp;window SR_SF 2" xfId="80"/>
    <cellStyle name="_5113 BANG KE SG_Sliding door&amp;window SR_SF 3" xfId="81"/>
    <cellStyle name="_5113 BANG KE SG_Sliding door&amp;window SR_SF 4" xfId="82"/>
    <cellStyle name="_5113 BANG KE SG_Sliding door&amp;window SR_SF 5" xfId="83"/>
    <cellStyle name="_5113 BANG KE SG_Sliding door&amp;window SR_SF_Dat kinh so   -17082012-Nha A Trung TGD" xfId="84"/>
    <cellStyle name="_5113 BANG KE SG_Sliding door&amp;window SR_SF_KINH NHA CO NGA 18-09-12" xfId="85"/>
    <cellStyle name="_5113 BANG KE SG_Sliding door&amp;window SR_SF_thong ke kinh PHONG mau-sxl1" xfId="86"/>
    <cellStyle name="_5113 BANG KE SG_Sliding door&amp;window SR_SF_thong ke kinh Tang mau-sxl1" xfId="87"/>
    <cellStyle name="_A5-v4-client's comment" xfId="88"/>
    <cellStyle name="_A5-v4-client's comment_BAO GIA-moi" xfId="89"/>
    <cellStyle name="_A5-v4-client's comment_BAO GIA-moi 2" xfId="90"/>
    <cellStyle name="_A5-v4-client's comment_BAO GIA-moi 3" xfId="91"/>
    <cellStyle name="_A5-v4-client's comment_BAO GIA-moi 4" xfId="92"/>
    <cellStyle name="_A5-v4-client's comment_BAO GIA-moi 5" xfId="93"/>
    <cellStyle name="_A5-v4-client's comment_BAO GIA-moi_Dat kinh so   -17082012-Nha A Trung TGD" xfId="94"/>
    <cellStyle name="_A5-v4-client's comment_BAO GIA-moi_KINH NHA CO NGA 18-09-12" xfId="95"/>
    <cellStyle name="_A5-v4-client's comment_BAO GIA-moi_thong ke kinh PHONG mau-sxl1" xfId="96"/>
    <cellStyle name="_A5-v4-client's comment_BAO GIA-moi_thong ke kinh Tang mau-sxl1" xfId="97"/>
    <cellStyle name="_A5-v4-client's comment_CSMH 1C" xfId="98"/>
    <cellStyle name="_A5-v4-client's comment_Sliding door&amp;window SR_SF" xfId="99"/>
    <cellStyle name="_A5-v4-client's comment_Sliding door&amp;window SR_SF 2" xfId="100"/>
    <cellStyle name="_A5-v4-client's comment_Sliding door&amp;window SR_SF 3" xfId="101"/>
    <cellStyle name="_A5-v4-client's comment_Sliding door&amp;window SR_SF 4" xfId="102"/>
    <cellStyle name="_A5-v4-client's comment_Sliding door&amp;window SR_SF 5" xfId="103"/>
    <cellStyle name="_A5-v4-client's comment_Sliding door&amp;window SR_SF_Dat kinh so   -17082012-Nha A Trung TGD" xfId="104"/>
    <cellStyle name="_A5-v4-client's comment_Sliding door&amp;window SR_SF_KINH NHA CO NGA 18-09-12" xfId="105"/>
    <cellStyle name="_A5-v4-client's comment_Sliding door&amp;window SR_SF_thong ke kinh PHONG mau-sxl1" xfId="106"/>
    <cellStyle name="_A5-v4-client's comment_Sliding door&amp;window SR_SF_thong ke kinh Tang mau-sxl1" xfId="107"/>
    <cellStyle name="_Ac 2160 - BO" xfId="108"/>
    <cellStyle name="_Ac 2160 - BO_BAO GIA-moi" xfId="109"/>
    <cellStyle name="_Ac 2160 - BO_BAO GIA-moi 2" xfId="110"/>
    <cellStyle name="_Ac 2160 - BO_BAO GIA-moi 3" xfId="111"/>
    <cellStyle name="_Ac 2160 - BO_BAO GIA-moi 4" xfId="112"/>
    <cellStyle name="_Ac 2160 - BO_BAO GIA-moi 5" xfId="113"/>
    <cellStyle name="_Ac 2160 - BO_BAO GIA-moi_Dat kinh so   -17082012-Nha A Trung TGD" xfId="114"/>
    <cellStyle name="_Ac 2160 - BO_BAO GIA-moi_KINH NHA CO NGA 18-09-12" xfId="115"/>
    <cellStyle name="_Ac 2160 - BO_BAO GIA-moi_thong ke kinh PHONG mau-sxl1" xfId="116"/>
    <cellStyle name="_Ac 2160 - BO_BAO GIA-moi_thong ke kinh Tang mau-sxl1" xfId="117"/>
    <cellStyle name="_Ac 2160 - BO_CSMH 1C" xfId="118"/>
    <cellStyle name="_Ac 2160 - BO_Sliding door&amp;window SR_SF" xfId="119"/>
    <cellStyle name="_Ac 2160 - BO_Sliding door&amp;window SR_SF 2" xfId="120"/>
    <cellStyle name="_Ac 2160 - BO_Sliding door&amp;window SR_SF 3" xfId="121"/>
    <cellStyle name="_Ac 2160 - BO_Sliding door&amp;window SR_SF 4" xfId="122"/>
    <cellStyle name="_Ac 2160 - BO_Sliding door&amp;window SR_SF 5" xfId="123"/>
    <cellStyle name="_Ac 2160 - BO_Sliding door&amp;window SR_SF_Dat kinh so   -17082012-Nha A Trung TGD" xfId="124"/>
    <cellStyle name="_Ac 2160 - BO_Sliding door&amp;window SR_SF_KINH NHA CO NGA 18-09-12" xfId="125"/>
    <cellStyle name="_Ac 2160 - BO_Sliding door&amp;window SR_SF_thong ke kinh PHONG mau-sxl1" xfId="126"/>
    <cellStyle name="_Ac 2160 - BO_Sliding door&amp;window SR_SF_thong ke kinh Tang mau-sxl1" xfId="127"/>
    <cellStyle name="_Amstan - 31 Dec 06 - T Section" xfId="128"/>
    <cellStyle name="_BAO CAO N01.08 " xfId="129"/>
    <cellStyle name="_BAO CAO N01.09 " xfId="130"/>
    <cellStyle name="_BAO CAO N02.08 " xfId="131"/>
    <cellStyle name="_BAO CAO N04.08 " xfId="132"/>
    <cellStyle name="_BAO CAO N04.09 " xfId="133"/>
    <cellStyle name="_BAO CAO N05.08 " xfId="134"/>
    <cellStyle name="_BAO CAO N06.09 " xfId="135"/>
    <cellStyle name="_BAO CAO N07.08 " xfId="136"/>
    <cellStyle name="_BAO CAO N07.09 " xfId="137"/>
    <cellStyle name="_BAO CAO N08.08 " xfId="138"/>
    <cellStyle name="_BAO CAO N08.09 " xfId="139"/>
    <cellStyle name="_BAO CAO N09.09 " xfId="140"/>
    <cellStyle name="_BAO CAO N10.08 " xfId="141"/>
    <cellStyle name="_BAO CAO N11.09 " xfId="142"/>
    <cellStyle name="_BAO CAO N12.08 " xfId="143"/>
    <cellStyle name="_BAO CAO N12.09 " xfId="144"/>
    <cellStyle name="_BAO CAO N13.09 " xfId="145"/>
    <cellStyle name="_BAO CAO N14.08 " xfId="146"/>
    <cellStyle name="_BAO CAO N14.09 " xfId="147"/>
    <cellStyle name="_BAO CAO N16.08 " xfId="148"/>
    <cellStyle name="_BAO CAO N16.09 " xfId="149"/>
    <cellStyle name="_BAO CAO N17.08 " xfId="150"/>
    <cellStyle name="_BAO CAO N18.08 " xfId="151"/>
    <cellStyle name="_BAO CAO N18.09 " xfId="152"/>
    <cellStyle name="_BAO CAO N19.07 " xfId="153"/>
    <cellStyle name="_BAO CAO N19.08 " xfId="154"/>
    <cellStyle name="_BAO CAO N19.09 " xfId="155"/>
    <cellStyle name="_BAO CAO N20.09 " xfId="156"/>
    <cellStyle name="_BAO CAO N21.07 " xfId="157"/>
    <cellStyle name="_BAO CAO N21.08 " xfId="158"/>
    <cellStyle name="_BAO CAO N21.09 " xfId="159"/>
    <cellStyle name="_BAO CAO N22.07 " xfId="160"/>
    <cellStyle name="_BAO CAO N22.08 " xfId="161"/>
    <cellStyle name="_BAO CAO N22.09 " xfId="162"/>
    <cellStyle name="_BAO CAO N23.08 " xfId="163"/>
    <cellStyle name="_BAO CAO N23.09 " xfId="164"/>
    <cellStyle name="_BAO CAO N24.08 " xfId="165"/>
    <cellStyle name="_BAO CAO N25.07 " xfId="166"/>
    <cellStyle name="_BAO CAO N25.08 " xfId="167"/>
    <cellStyle name="_BAO CAO N26.07 " xfId="168"/>
    <cellStyle name="_BAO CAO N26.08 " xfId="169"/>
    <cellStyle name="_BAO CAO N27.07 " xfId="170"/>
    <cellStyle name="_BAO CAO N28.07 " xfId="171"/>
    <cellStyle name="_BAO CAO N28.08 " xfId="172"/>
    <cellStyle name="_BAO CAO N29.07 " xfId="173"/>
    <cellStyle name="_BAO CAO N29.07 _BAO CAO N17.08 " xfId="174"/>
    <cellStyle name="_BAO CAO N29.08 " xfId="175"/>
    <cellStyle name="_BAO CAO N30.08 " xfId="176"/>
    <cellStyle name="_Book1" xfId="177"/>
    <cellStyle name="_Book1_1" xfId="178"/>
    <cellStyle name="_Book1_BC-QT-WB-dthao" xfId="179"/>
    <cellStyle name="_Book1_Chi_phi_627_theo_thang_08 " xfId="180"/>
    <cellStyle name="_Book1_ITA 100 - TAS - H section - Investment - 31.12.07" xfId="181"/>
    <cellStyle name="_Book1_ITA 100 - TAS - H section - Investment - 31.12.07_BAO GIA-moi" xfId="182"/>
    <cellStyle name="_Book1_ITA 100 - TAS - H section - Investment - 31.12.07_BAO GIA-moi 2" xfId="183"/>
    <cellStyle name="_Book1_ITA 100 - TAS - H section - Investment - 31.12.07_BAO GIA-moi 3" xfId="184"/>
    <cellStyle name="_Book1_ITA 100 - TAS - H section - Investment - 31.12.07_BAO GIA-moi 4" xfId="185"/>
    <cellStyle name="_Book1_ITA 100 - TAS - H section - Investment - 31.12.07_BAO GIA-moi 5" xfId="186"/>
    <cellStyle name="_Book1_ITA 100 - TAS - H section - Investment - 31.12.07_BAO GIA-moi_Dat kinh so   -17082012-Nha A Trung TGD" xfId="187"/>
    <cellStyle name="_Book1_ITA 100 - TAS - H section - Investment - 31.12.07_BAO GIA-moi_KINH NHA CO NGA 18-09-12" xfId="188"/>
    <cellStyle name="_Book1_ITA 100 - TAS - H section - Investment - 31.12.07_BAO GIA-moi_thong ke kinh PHONG mau-sxl1" xfId="189"/>
    <cellStyle name="_Book1_ITA 100 - TAS - H section - Investment - 31.12.07_BAO GIA-moi_thong ke kinh Tang mau-sxl1" xfId="190"/>
    <cellStyle name="_Book1_ITA 100 - TAS - H section - Investment - 31.12.07_CSMH 1C" xfId="191"/>
    <cellStyle name="_Book1_ITA 100 - TAS - H section - Investment - 31.12.07_Sliding door&amp;window SR_SF" xfId="192"/>
    <cellStyle name="_Book1_ITA 100 - TAS - H section - Investment - 31.12.07_Sliding door&amp;window SR_SF 2" xfId="193"/>
    <cellStyle name="_Book1_ITA 100 - TAS - H section - Investment - 31.12.07_Sliding door&amp;window SR_SF 3" xfId="194"/>
    <cellStyle name="_Book1_ITA 100 - TAS - H section - Investment - 31.12.07_Sliding door&amp;window SR_SF 4" xfId="195"/>
    <cellStyle name="_Book1_ITA 100 - TAS - H section - Investment - 31.12.07_Sliding door&amp;window SR_SF 5" xfId="196"/>
    <cellStyle name="_Book1_ITA 100 - TAS - H section - Investment - 31.12.07_Sliding door&amp;window SR_SF_Dat kinh so   -17082012-Nha A Trung TGD" xfId="197"/>
    <cellStyle name="_Book1_ITA 100 - TAS - H section - Investment - 31.12.07_Sliding door&amp;window SR_SF_KINH NHA CO NGA 18-09-12" xfId="198"/>
    <cellStyle name="_Book1_ITA 100 - TAS - H section - Investment - 31.12.07_Sliding door&amp;window SR_SF_thong ke kinh PHONG mau-sxl1" xfId="199"/>
    <cellStyle name="_Book1_ITA 100 - TAS - H section - Investment - 31.12.07_Sliding door&amp;window SR_SF_thong ke kinh Tang mau-sxl1" xfId="200"/>
    <cellStyle name="_Book1_ITA 100 - TAS - S section - Sales-31.12.07" xfId="201"/>
    <cellStyle name="_Book1_ITA 100 - TAS - S section - Sales-31.12.07_BAO GIA-moi" xfId="202"/>
    <cellStyle name="_Book1_ITA 100 - TAS - S section - Sales-31.12.07_BAO GIA-moi 2" xfId="203"/>
    <cellStyle name="_Book1_ITA 100 - TAS - S section - Sales-31.12.07_BAO GIA-moi 3" xfId="204"/>
    <cellStyle name="_Book1_ITA 100 - TAS - S section - Sales-31.12.07_BAO GIA-moi 4" xfId="205"/>
    <cellStyle name="_Book1_ITA 100 - TAS - S section - Sales-31.12.07_BAO GIA-moi 5" xfId="206"/>
    <cellStyle name="_Book1_ITA 100 - TAS - S section - Sales-31.12.07_BAO GIA-moi_Dat kinh so   -17082012-Nha A Trung TGD" xfId="207"/>
    <cellStyle name="_Book1_ITA 100 - TAS - S section - Sales-31.12.07_BAO GIA-moi_KINH NHA CO NGA 18-09-12" xfId="208"/>
    <cellStyle name="_Book1_ITA 100 - TAS - S section - Sales-31.12.07_BAO GIA-moi_thong ke kinh PHONG mau-sxl1" xfId="209"/>
    <cellStyle name="_Book1_ITA 100 - TAS - S section - Sales-31.12.07_BAO GIA-moi_thong ke kinh Tang mau-sxl1" xfId="210"/>
    <cellStyle name="_Book1_ITA 100 - TAS - S section - Sales-31.12.07_CSMH 1C" xfId="211"/>
    <cellStyle name="_Book1_ITA 100 - TAS - S section - Sales-31.12.07_Sliding door&amp;window SR_SF" xfId="212"/>
    <cellStyle name="_Book1_ITA 100 - TAS - S section - Sales-31.12.07_Sliding door&amp;window SR_SF 2" xfId="213"/>
    <cellStyle name="_Book1_ITA 100 - TAS - S section - Sales-31.12.07_Sliding door&amp;window SR_SF 3" xfId="214"/>
    <cellStyle name="_Book1_ITA 100 - TAS - S section - Sales-31.12.07_Sliding door&amp;window SR_SF 4" xfId="215"/>
    <cellStyle name="_Book1_ITA 100 - TAS - S section - Sales-31.12.07_Sliding door&amp;window SR_SF 5" xfId="216"/>
    <cellStyle name="_Book1_ITA 100 - TAS - S section - Sales-31.12.07_Sliding door&amp;window SR_SF_Dat kinh so   -17082012-Nha A Trung TGD" xfId="217"/>
    <cellStyle name="_Book1_ITA 100 - TAS - S section - Sales-31.12.07_Sliding door&amp;window SR_SF_KINH NHA CO NGA 18-09-12" xfId="218"/>
    <cellStyle name="_Book1_ITA 100 - TAS - S section - Sales-31.12.07_Sliding door&amp;window SR_SF_thong ke kinh PHONG mau-sxl1" xfId="219"/>
    <cellStyle name="_Book1_ITA 100 - TAS - S section - Sales-31.12.07_Sliding door&amp;window SR_SF_thong ke kinh Tang mau-sxl1" xfId="220"/>
    <cellStyle name="_Castrol - Sales &amp; AR - NTHH" xfId="221"/>
    <cellStyle name="_Castrol - Sales &amp; AR - NTHH_BAO GIA-moi" xfId="222"/>
    <cellStyle name="_Castrol - Sales &amp; AR - NTHH_BAO GIA-moi 2" xfId="223"/>
    <cellStyle name="_Castrol - Sales &amp; AR - NTHH_BAO GIA-moi 3" xfId="224"/>
    <cellStyle name="_Castrol - Sales &amp; AR - NTHH_BAO GIA-moi 4" xfId="225"/>
    <cellStyle name="_Castrol - Sales &amp; AR - NTHH_BAO GIA-moi 5" xfId="226"/>
    <cellStyle name="_Castrol - Sales &amp; AR - NTHH_BAO GIA-moi_Dat kinh so   -17082012-Nha A Trung TGD" xfId="227"/>
    <cellStyle name="_Castrol - Sales &amp; AR - NTHH_BAO GIA-moi_KINH NHA CO NGA 18-09-12" xfId="228"/>
    <cellStyle name="_Castrol - Sales &amp; AR - NTHH_BAO GIA-moi_thong ke kinh PHONG mau-sxl1" xfId="229"/>
    <cellStyle name="_Castrol - Sales &amp; AR - NTHH_BAO GIA-moi_thong ke kinh Tang mau-sxl1" xfId="230"/>
    <cellStyle name="_Castrol - Sales &amp; AR - NTHH_CSMH 1C" xfId="231"/>
    <cellStyle name="_Castrol - Sales &amp; AR - NTHH_Sliding door&amp;window SR_SF" xfId="232"/>
    <cellStyle name="_Castrol - Sales &amp; AR - NTHH_Sliding door&amp;window SR_SF 2" xfId="233"/>
    <cellStyle name="_Castrol - Sales &amp; AR - NTHH_Sliding door&amp;window SR_SF 3" xfId="234"/>
    <cellStyle name="_Castrol - Sales &amp; AR - NTHH_Sliding door&amp;window SR_SF 4" xfId="235"/>
    <cellStyle name="_Castrol - Sales &amp; AR - NTHH_Sliding door&amp;window SR_SF 5" xfId="236"/>
    <cellStyle name="_Castrol - Sales &amp; AR - NTHH_Sliding door&amp;window SR_SF_Dat kinh so   -17082012-Nha A Trung TGD" xfId="237"/>
    <cellStyle name="_Castrol - Sales &amp; AR - NTHH_Sliding door&amp;window SR_SF_KINH NHA CO NGA 18-09-12" xfId="238"/>
    <cellStyle name="_Castrol - Sales &amp; AR - NTHH_Sliding door&amp;window SR_SF_thong ke kinh PHONG mau-sxl1" xfId="239"/>
    <cellStyle name="_Castrol - Sales &amp; AR - NTHH_Sliding door&amp;window SR_SF_thong ke kinh Tang mau-sxl1" xfId="240"/>
    <cellStyle name="_Castrol - Stock WPs - NTHH" xfId="241"/>
    <cellStyle name="_CDKT-(01-12).2006NEW" xfId="242"/>
    <cellStyle name="_CDKT-(01-12).2006NEW v1" xfId="243"/>
    <cellStyle name="_CDKT-(01-12).2006NEW2" xfId="244"/>
    <cellStyle name="_Chi_phi_627_theo_thang_08 " xfId="245"/>
    <cellStyle name="_Cong bo thong tin tom tat Q42007 " xfId="246"/>
    <cellStyle name="_Cong bo thong tin tom tat Q42007 _BAO GIA-moi" xfId="247"/>
    <cellStyle name="_Cong bo thong tin tom tat Q42007 _BAO GIA-moi 2" xfId="248"/>
    <cellStyle name="_Cong bo thong tin tom tat Q42007 _BAO GIA-moi 3" xfId="249"/>
    <cellStyle name="_Cong bo thong tin tom tat Q42007 _BAO GIA-moi 4" xfId="250"/>
    <cellStyle name="_Cong bo thong tin tom tat Q42007 _BAO GIA-moi 5" xfId="251"/>
    <cellStyle name="_Cong bo thong tin tom tat Q42007 _BAO GIA-moi_Dat kinh so   -17082012-Nha A Trung TGD" xfId="252"/>
    <cellStyle name="_Cong bo thong tin tom tat Q42007 _BAO GIA-moi_KINH NHA CO NGA 18-09-12" xfId="253"/>
    <cellStyle name="_Cong bo thong tin tom tat Q42007 _BAO GIA-moi_thong ke kinh PHONG mau-sxl1" xfId="254"/>
    <cellStyle name="_Cong bo thong tin tom tat Q42007 _BAO GIA-moi_thong ke kinh Tang mau-sxl1" xfId="255"/>
    <cellStyle name="_Cong bo thong tin tom tat Q42007 _CSMH 1C" xfId="256"/>
    <cellStyle name="_Cong bo thong tin tom tat Q42007 _Sliding door&amp;window SR_SF" xfId="257"/>
    <cellStyle name="_Cong bo thong tin tom tat Q42007 _Sliding door&amp;window SR_SF 2" xfId="258"/>
    <cellStyle name="_Cong bo thong tin tom tat Q42007 _Sliding door&amp;window SR_SF 3" xfId="259"/>
    <cellStyle name="_Cong bo thong tin tom tat Q42007 _Sliding door&amp;window SR_SF 4" xfId="260"/>
    <cellStyle name="_Cong bo thong tin tom tat Q42007 _Sliding door&amp;window SR_SF 5" xfId="261"/>
    <cellStyle name="_Cong bo thong tin tom tat Q42007 _Sliding door&amp;window SR_SF_Dat kinh so   -17082012-Nha A Trung TGD" xfId="262"/>
    <cellStyle name="_Cong bo thong tin tom tat Q42007 _Sliding door&amp;window SR_SF_KINH NHA CO NGA 18-09-12" xfId="263"/>
    <cellStyle name="_Cong bo thong tin tom tat Q42007 _Sliding door&amp;window SR_SF_thong ke kinh PHONG mau-sxl1" xfId="264"/>
    <cellStyle name="_Cong bo thong tin tom tat Q42007 _Sliding door&amp;window SR_SF_thong ke kinh Tang mau-sxl1" xfId="265"/>
    <cellStyle name="_Copy of BAO CAO N31.07 " xfId="266"/>
    <cellStyle name="_Copy of Cost - Expanded area" xfId="267"/>
    <cellStyle name="_CS 1 canh mo ra ngoai" xfId="268"/>
    <cellStyle name="_CS 1 canh mo ra ngoai_BAO GIA-moi" xfId="269"/>
    <cellStyle name="_CS 1 canh mo ra ngoai_BAO GIA-moi 2" xfId="270"/>
    <cellStyle name="_CS 1 canh mo ra ngoai_BAO GIA-moi 3" xfId="271"/>
    <cellStyle name="_CS 1 canh mo ra ngoai_BAO GIA-moi 4" xfId="272"/>
    <cellStyle name="_CS 1 canh mo ra ngoai_BAO GIA-moi 5" xfId="273"/>
    <cellStyle name="_CS 1 canh mo ra ngoai_BAO GIA-moi_Dat kinh so   -17082012-Nha A Trung TGD" xfId="274"/>
    <cellStyle name="_CS 1 canh mo ra ngoai_BAO GIA-moi_KINH NHA CO NGA 18-09-12" xfId="275"/>
    <cellStyle name="_CS 1 canh mo ra ngoai_BAO GIA-moi_thong ke kinh PHONG mau-sxl1" xfId="276"/>
    <cellStyle name="_CS 1 canh mo ra ngoai_BAO GIA-moi_thong ke kinh Tang mau-sxl1" xfId="277"/>
    <cellStyle name="_CS 1 canh mo ra ngoai_CSMH 1C" xfId="278"/>
    <cellStyle name="_CS 1 canh mo ra ngoai_Sliding door&amp;window SR_SF" xfId="279"/>
    <cellStyle name="_CS 1 canh mo ra ngoai_Sliding door&amp;window SR_SF 2" xfId="280"/>
    <cellStyle name="_CS 1 canh mo ra ngoai_Sliding door&amp;window SR_SF 3" xfId="281"/>
    <cellStyle name="_CS 1 canh mo ra ngoai_Sliding door&amp;window SR_SF 4" xfId="282"/>
    <cellStyle name="_CS 1 canh mo ra ngoai_Sliding door&amp;window SR_SF 5" xfId="283"/>
    <cellStyle name="_CS 1 canh mo ra ngoai_Sliding door&amp;window SR_SF_Dat kinh so   -17082012-Nha A Trung TGD" xfId="284"/>
    <cellStyle name="_CS 1 canh mo ra ngoai_Sliding door&amp;window SR_SF_KINH NHA CO NGA 18-09-12" xfId="285"/>
    <cellStyle name="_CS 1 canh mo ra ngoai_Sliding door&amp;window SR_SF_thong ke kinh PHONG mau-sxl1" xfId="286"/>
    <cellStyle name="_CS 1 canh mo ra ngoai_Sliding door&amp;window SR_SF_thong ke kinh Tang mau-sxl1" xfId="287"/>
    <cellStyle name="_CS 2 canh" xfId="288"/>
    <cellStyle name="_CS 2 canh_BAO GIA-moi" xfId="289"/>
    <cellStyle name="_CS 2 canh_BAO GIA-moi 2" xfId="290"/>
    <cellStyle name="_CS 2 canh_BAO GIA-moi 3" xfId="291"/>
    <cellStyle name="_CS 2 canh_BAO GIA-moi 4" xfId="292"/>
    <cellStyle name="_CS 2 canh_BAO GIA-moi 5" xfId="293"/>
    <cellStyle name="_CS 2 canh_BAO GIA-moi_Dat kinh so   -17082012-Nha A Trung TGD" xfId="294"/>
    <cellStyle name="_CS 2 canh_BAO GIA-moi_KINH NHA CO NGA 18-09-12" xfId="295"/>
    <cellStyle name="_CS 2 canh_BAO GIA-moi_thong ke kinh PHONG mau-sxl1" xfId="296"/>
    <cellStyle name="_CS 2 canh_BAO GIA-moi_thong ke kinh Tang mau-sxl1" xfId="297"/>
    <cellStyle name="_CS 2 canh_CSMH 1C" xfId="298"/>
    <cellStyle name="_CS 2 canh_Sliding door&amp;window SR_SF" xfId="299"/>
    <cellStyle name="_CS 2 canh_Sliding door&amp;window SR_SF 2" xfId="300"/>
    <cellStyle name="_CS 2 canh_Sliding door&amp;window SR_SF 3" xfId="301"/>
    <cellStyle name="_CS 2 canh_Sliding door&amp;window SR_SF 4" xfId="302"/>
    <cellStyle name="_CS 2 canh_Sliding door&amp;window SR_SF 5" xfId="303"/>
    <cellStyle name="_CS 2 canh_Sliding door&amp;window SR_SF_Dat kinh so   -17082012-Nha A Trung TGD" xfId="304"/>
    <cellStyle name="_CS 2 canh_Sliding door&amp;window SR_SF_KINH NHA CO NGA 18-09-12" xfId="305"/>
    <cellStyle name="_CS 2 canh_Sliding door&amp;window SR_SF_thong ke kinh PHONG mau-sxl1" xfId="306"/>
    <cellStyle name="_CS 2 canh_Sliding door&amp;window SR_SF_thong ke kinh Tang mau-sxl1" xfId="307"/>
    <cellStyle name="_CỬA ĐI 2 cánh - mở lùa" xfId="308"/>
    <cellStyle name="_CỬA ĐI 2 cánh - mở lùa_BAO GIA-moi" xfId="309"/>
    <cellStyle name="_CỬA ĐI 2 cánh - mở lùa_BAO GIA-moi 2" xfId="310"/>
    <cellStyle name="_CỬA ĐI 2 cánh - mở lùa_BAO GIA-moi 3" xfId="311"/>
    <cellStyle name="_CỬA ĐI 2 cánh - mở lùa_BAO GIA-moi 4" xfId="312"/>
    <cellStyle name="_CỬA ĐI 2 cánh - mở lùa_BAO GIA-moi 5" xfId="313"/>
    <cellStyle name="_CỬA ĐI 2 cánh - mở lùa_BAO GIA-moi_Dat kinh so   -17082012-Nha A Trung TGD" xfId="314"/>
    <cellStyle name="_CỬA ĐI 2 cánh - mở lùa_BAO GIA-moi_KINH NHA CO NGA 18-09-12" xfId="315"/>
    <cellStyle name="_CỬA ĐI 2 cánh - mở lùa_BAO GIA-moi_thong ke kinh PHONG mau-sxl1" xfId="316"/>
    <cellStyle name="_CỬA ĐI 2 cánh - mở lùa_BAO GIA-moi_thong ke kinh Tang mau-sxl1" xfId="317"/>
    <cellStyle name="_CỬA ĐI 2 cánh - mở lùa_CSMH 1C" xfId="318"/>
    <cellStyle name="_CỬA ĐI 2 cánh - mở lùa_Sliding door&amp;window SR_SF" xfId="319"/>
    <cellStyle name="_CỬA ĐI 2 cánh - mở lùa_Sliding door&amp;window SR_SF 2" xfId="320"/>
    <cellStyle name="_CỬA ĐI 2 cánh - mở lùa_Sliding door&amp;window SR_SF 3" xfId="321"/>
    <cellStyle name="_CỬA ĐI 2 cánh - mở lùa_Sliding door&amp;window SR_SF 4" xfId="322"/>
    <cellStyle name="_CỬA ĐI 2 cánh - mở lùa_Sliding door&amp;window SR_SF 5" xfId="323"/>
    <cellStyle name="_CỬA ĐI 2 cánh - mở lùa_Sliding door&amp;window SR_SF_Dat kinh so   -17082012-Nha A Trung TGD" xfId="324"/>
    <cellStyle name="_CỬA ĐI 2 cánh - mở lùa_Sliding door&amp;window SR_SF_KINH NHA CO NGA 18-09-12" xfId="325"/>
    <cellStyle name="_CỬA ĐI 2 cánh - mở lùa_Sliding door&amp;window SR_SF_thong ke kinh PHONG mau-sxl1" xfId="326"/>
    <cellStyle name="_CỬA ĐI 2 cánh - mở lùa_Sliding door&amp;window SR_SF_thong ke kinh Tang mau-sxl1" xfId="327"/>
    <cellStyle name="_CỬA ĐI 2 canh- mo quay" xfId="328"/>
    <cellStyle name="_CỬA ĐI 2 canh- mo quay_BAO GIA-moi" xfId="329"/>
    <cellStyle name="_CỬA ĐI 2 canh- mo quay_BAO GIA-moi 2" xfId="330"/>
    <cellStyle name="_CỬA ĐI 2 canh- mo quay_BAO GIA-moi 3" xfId="331"/>
    <cellStyle name="_CỬA ĐI 2 canh- mo quay_BAO GIA-moi 4" xfId="332"/>
    <cellStyle name="_CỬA ĐI 2 canh- mo quay_BAO GIA-moi 5" xfId="333"/>
    <cellStyle name="_CỬA ĐI 2 canh- mo quay_BAO GIA-moi_Dat kinh so   -17082012-Nha A Trung TGD" xfId="334"/>
    <cellStyle name="_CỬA ĐI 2 canh- mo quay_BAO GIA-moi_KINH NHA CO NGA 18-09-12" xfId="335"/>
    <cellStyle name="_CỬA ĐI 2 canh- mo quay_BAO GIA-moi_thong ke kinh PHONG mau-sxl1" xfId="336"/>
    <cellStyle name="_CỬA ĐI 2 canh- mo quay_BAO GIA-moi_thong ke kinh Tang mau-sxl1" xfId="337"/>
    <cellStyle name="_CỬA ĐI 2 canh- mo quay_CSMH 1C" xfId="338"/>
    <cellStyle name="_CỬA ĐI 2 canh- mo quay_Sliding door&amp;window SR_SF" xfId="339"/>
    <cellStyle name="_CỬA ĐI 2 canh- mo quay_Sliding door&amp;window SR_SF 2" xfId="340"/>
    <cellStyle name="_CỬA ĐI 2 canh- mo quay_Sliding door&amp;window SR_SF 3" xfId="341"/>
    <cellStyle name="_CỬA ĐI 2 canh- mo quay_Sliding door&amp;window SR_SF 4" xfId="342"/>
    <cellStyle name="_CỬA ĐI 2 canh- mo quay_Sliding door&amp;window SR_SF 5" xfId="343"/>
    <cellStyle name="_CỬA ĐI 2 canh- mo quay_Sliding door&amp;window SR_SF_Dat kinh so   -17082012-Nha A Trung TGD" xfId="344"/>
    <cellStyle name="_CỬA ĐI 2 canh- mo quay_Sliding door&amp;window SR_SF_KINH NHA CO NGA 18-09-12" xfId="345"/>
    <cellStyle name="_CỬA ĐI 2 canh- mo quay_Sliding door&amp;window SR_SF_thong ke kinh PHONG mau-sxl1" xfId="346"/>
    <cellStyle name="_CỬA ĐI 2 canh- mo quay_Sliding door&amp;window SR_SF_thong ke kinh Tang mau-sxl1" xfId="347"/>
    <cellStyle name="_CỬA SỔ 2 CÁNH (ĐÃ LUỘC ĐỒ)" xfId="348"/>
    <cellStyle name="_CỬA SỔ 2 CÁNH (ĐÃ LUỘC ĐỒ)_BAO GIA-moi" xfId="349"/>
    <cellStyle name="_CỬA SỔ 2 CÁNH (ĐÃ LUỘC ĐỒ)_BAO GIA-moi 2" xfId="350"/>
    <cellStyle name="_CỬA SỔ 2 CÁNH (ĐÃ LUỘC ĐỒ)_BAO GIA-moi 3" xfId="351"/>
    <cellStyle name="_CỬA SỔ 2 CÁNH (ĐÃ LUỘC ĐỒ)_BAO GIA-moi 4" xfId="352"/>
    <cellStyle name="_CỬA SỔ 2 CÁNH (ĐÃ LUỘC ĐỒ)_BAO GIA-moi 5" xfId="353"/>
    <cellStyle name="_CỬA SỔ 2 CÁNH (ĐÃ LUỘC ĐỒ)_BAO GIA-moi_Dat kinh so   -17082012-Nha A Trung TGD" xfId="354"/>
    <cellStyle name="_CỬA SỔ 2 CÁNH (ĐÃ LUỘC ĐỒ)_BAO GIA-moi_KINH NHA CO NGA 18-09-12" xfId="355"/>
    <cellStyle name="_CỬA SỔ 2 CÁNH (ĐÃ LUỘC ĐỒ)_BAO GIA-moi_thong ke kinh PHONG mau-sxl1" xfId="356"/>
    <cellStyle name="_CỬA SỔ 2 CÁNH (ĐÃ LUỘC ĐỒ)_BAO GIA-moi_thong ke kinh Tang mau-sxl1" xfId="357"/>
    <cellStyle name="_CỬA SỔ 2 CÁNH (ĐÃ LUỘC ĐỒ)_CSMH 1C" xfId="358"/>
    <cellStyle name="_CỬA SỔ 2 CÁNH (ĐÃ LUỘC ĐỒ)_Sliding door&amp;window SR_SF" xfId="359"/>
    <cellStyle name="_CỬA SỔ 2 CÁNH (ĐÃ LUỘC ĐỒ)_Sliding door&amp;window SR_SF 2" xfId="360"/>
    <cellStyle name="_CỬA SỔ 2 CÁNH (ĐÃ LUỘC ĐỒ)_Sliding door&amp;window SR_SF 3" xfId="361"/>
    <cellStyle name="_CỬA SỔ 2 CÁNH (ĐÃ LUỘC ĐỒ)_Sliding door&amp;window SR_SF 4" xfId="362"/>
    <cellStyle name="_CỬA SỔ 2 CÁNH (ĐÃ LUỘC ĐỒ)_Sliding door&amp;window SR_SF 5" xfId="363"/>
    <cellStyle name="_CỬA SỔ 2 CÁNH (ĐÃ LUỘC ĐỒ)_Sliding door&amp;window SR_SF_Dat kinh so   -17082012-Nha A Trung TGD" xfId="364"/>
    <cellStyle name="_CỬA SỔ 2 CÁNH (ĐÃ LUỘC ĐỒ)_Sliding door&amp;window SR_SF_KINH NHA CO NGA 18-09-12" xfId="365"/>
    <cellStyle name="_CỬA SỔ 2 CÁNH (ĐÃ LUỘC ĐỒ)_Sliding door&amp;window SR_SF_thong ke kinh PHONG mau-sxl1" xfId="366"/>
    <cellStyle name="_CỬA SỔ 2 CÁNH (ĐÃ LUỘC ĐỒ)_Sliding door&amp;window SR_SF_thong ke kinh Tang mau-sxl1" xfId="367"/>
    <cellStyle name="_cua so lua 2 canh" xfId="368"/>
    <cellStyle name="_cua so lua 2 canh_BAO GIA-moi" xfId="369"/>
    <cellStyle name="_cua so lua 2 canh_BAO GIA-moi 2" xfId="370"/>
    <cellStyle name="_cua so lua 2 canh_BAO GIA-moi 3" xfId="371"/>
    <cellStyle name="_cua so lua 2 canh_BAO GIA-moi 4" xfId="372"/>
    <cellStyle name="_cua so lua 2 canh_BAO GIA-moi 5" xfId="373"/>
    <cellStyle name="_cua so lua 2 canh_BAO GIA-moi_Dat kinh so   -17082012-Nha A Trung TGD" xfId="374"/>
    <cellStyle name="_cua so lua 2 canh_BAO GIA-moi_KINH NHA CO NGA 18-09-12" xfId="375"/>
    <cellStyle name="_cua so lua 2 canh_BAO GIA-moi_thong ke kinh PHONG mau-sxl1" xfId="376"/>
    <cellStyle name="_cua so lua 2 canh_BAO GIA-moi_thong ke kinh Tang mau-sxl1" xfId="377"/>
    <cellStyle name="_cua so lua 2 canh_CSMH 1C" xfId="378"/>
    <cellStyle name="_cua so lua 2 canh_Sliding door&amp;window SR_SF" xfId="379"/>
    <cellStyle name="_cua so lua 2 canh_Sliding door&amp;window SR_SF 2" xfId="380"/>
    <cellStyle name="_cua so lua 2 canh_Sliding door&amp;window SR_SF 3" xfId="381"/>
    <cellStyle name="_cua so lua 2 canh_Sliding door&amp;window SR_SF 4" xfId="382"/>
    <cellStyle name="_cua so lua 2 canh_Sliding door&amp;window SR_SF 5" xfId="383"/>
    <cellStyle name="_cua so lua 2 canh_Sliding door&amp;window SR_SF_Dat kinh so   -17082012-Nha A Trung TGD" xfId="384"/>
    <cellStyle name="_cua so lua 2 canh_Sliding door&amp;window SR_SF_KINH NHA CO NGA 18-09-12" xfId="385"/>
    <cellStyle name="_cua so lua 2 canh_Sliding door&amp;window SR_SF_thong ke kinh PHONG mau-sxl1" xfId="386"/>
    <cellStyle name="_cua so lua 2 canh_Sliding door&amp;window SR_SF_thong ke kinh Tang mau-sxl1" xfId="387"/>
    <cellStyle name="_E section" xfId="388"/>
    <cellStyle name="_EXPENSES-1206" xfId="389"/>
    <cellStyle name="_EXPENSES-1206_BAO GIA-moi" xfId="390"/>
    <cellStyle name="_EXPENSES-1206_BAO GIA-moi 2" xfId="391"/>
    <cellStyle name="_EXPENSES-1206_BAO GIA-moi 3" xfId="392"/>
    <cellStyle name="_EXPENSES-1206_BAO GIA-moi 4" xfId="393"/>
    <cellStyle name="_EXPENSES-1206_BAO GIA-moi 5" xfId="394"/>
    <cellStyle name="_EXPENSES-1206_BAO GIA-moi_Dat kinh so   -17082012-Nha A Trung TGD" xfId="395"/>
    <cellStyle name="_EXPENSES-1206_BAO GIA-moi_KINH NHA CO NGA 18-09-12" xfId="396"/>
    <cellStyle name="_EXPENSES-1206_BAO GIA-moi_thong ke kinh PHONG mau-sxl1" xfId="397"/>
    <cellStyle name="_EXPENSES-1206_BAO GIA-moi_thong ke kinh Tang mau-sxl1" xfId="398"/>
    <cellStyle name="_EXPENSES-1206_CSMH 1C" xfId="399"/>
    <cellStyle name="_EXPENSES-1206_Sliding door&amp;window SR_SF" xfId="400"/>
    <cellStyle name="_EXPENSES-1206_Sliding door&amp;window SR_SF 2" xfId="401"/>
    <cellStyle name="_EXPENSES-1206_Sliding door&amp;window SR_SF 3" xfId="402"/>
    <cellStyle name="_EXPENSES-1206_Sliding door&amp;window SR_SF 4" xfId="403"/>
    <cellStyle name="_EXPENSES-1206_Sliding door&amp;window SR_SF 5" xfId="404"/>
    <cellStyle name="_EXPENSES-1206_Sliding door&amp;window SR_SF_Dat kinh so   -17082012-Nha A Trung TGD" xfId="405"/>
    <cellStyle name="_EXPENSES-1206_Sliding door&amp;window SR_SF_KINH NHA CO NGA 18-09-12" xfId="406"/>
    <cellStyle name="_EXPENSES-1206_Sliding door&amp;window SR_SF_thong ke kinh PHONG mau-sxl1" xfId="407"/>
    <cellStyle name="_EXPENSES-1206_Sliding door&amp;window SR_SF_thong ke kinh Tang mau-sxl1" xfId="408"/>
    <cellStyle name="_F. Stock-v3.2005.HTE" xfId="409"/>
    <cellStyle name="_F. Stock-v3.2005.HTE_BAO GIA-moi" xfId="410"/>
    <cellStyle name="_F. Stock-v3.2005.HTE_BAO GIA-moi 2" xfId="411"/>
    <cellStyle name="_F. Stock-v3.2005.HTE_BAO GIA-moi 3" xfId="412"/>
    <cellStyle name="_F. Stock-v3.2005.HTE_BAO GIA-moi 4" xfId="413"/>
    <cellStyle name="_F. Stock-v3.2005.HTE_BAO GIA-moi 5" xfId="414"/>
    <cellStyle name="_F. Stock-v3.2005.HTE_BAO GIA-moi_Dat kinh so   -17082012-Nha A Trung TGD" xfId="415"/>
    <cellStyle name="_F. Stock-v3.2005.HTE_BAO GIA-moi_KINH NHA CO NGA 18-09-12" xfId="416"/>
    <cellStyle name="_F. Stock-v3.2005.HTE_BAO GIA-moi_thong ke kinh PHONG mau-sxl1" xfId="417"/>
    <cellStyle name="_F. Stock-v3.2005.HTE_BAO GIA-moi_thong ke kinh Tang mau-sxl1" xfId="418"/>
    <cellStyle name="_F. Stock-v3.2005.HTE_CSMH 1C" xfId="419"/>
    <cellStyle name="_F. Stock-v3.2005.HTE_Sliding door&amp;window SR_SF" xfId="420"/>
    <cellStyle name="_F. Stock-v3.2005.HTE_Sliding door&amp;window SR_SF 2" xfId="421"/>
    <cellStyle name="_F. Stock-v3.2005.HTE_Sliding door&amp;window SR_SF 3" xfId="422"/>
    <cellStyle name="_F. Stock-v3.2005.HTE_Sliding door&amp;window SR_SF 4" xfId="423"/>
    <cellStyle name="_F. Stock-v3.2005.HTE_Sliding door&amp;window SR_SF 5" xfId="424"/>
    <cellStyle name="_F. Stock-v3.2005.HTE_Sliding door&amp;window SR_SF_Dat kinh so   -17082012-Nha A Trung TGD" xfId="425"/>
    <cellStyle name="_F. Stock-v3.2005.HTE_Sliding door&amp;window SR_SF_KINH NHA CO NGA 18-09-12" xfId="426"/>
    <cellStyle name="_F. Stock-v3.2005.HTE_Sliding door&amp;window SR_SF_thong ke kinh PHONG mau-sxl1" xfId="427"/>
    <cellStyle name="_F. Stock-v3.2005.HTE_Sliding door&amp;window SR_SF_thong ke kinh Tang mau-sxl1" xfId="428"/>
    <cellStyle name="_Fixed Assets WPs 2006 v2" xfId="429"/>
    <cellStyle name="_Fixed Assets WPs 2006 v2_BAO GIA-moi" xfId="430"/>
    <cellStyle name="_Fixed Assets WPs 2006 v2_Casement door" xfId="431"/>
    <cellStyle name="_Fixed Assets WPs 2006 v2_Casement window" xfId="432"/>
    <cellStyle name="_Fixed Assets WPs 2006 v2_Sliding door&amp;window SR_SF" xfId="433"/>
    <cellStyle name="_FS 31 Dec 2006" xfId="434"/>
    <cellStyle name="_FS 31 Dec 2006_BAO GIA-moi" xfId="435"/>
    <cellStyle name="_FS 31 Dec 2006_BAO GIA-moi 2" xfId="436"/>
    <cellStyle name="_FS 31 Dec 2006_BAO GIA-moi 3" xfId="437"/>
    <cellStyle name="_FS 31 Dec 2006_BAO GIA-moi 4" xfId="438"/>
    <cellStyle name="_FS 31 Dec 2006_BAO GIA-moi 5" xfId="439"/>
    <cellStyle name="_FS 31 Dec 2006_BAO GIA-moi_Dat kinh so   -17082012-Nha A Trung TGD" xfId="440"/>
    <cellStyle name="_FS 31 Dec 2006_BAO GIA-moi_KINH NHA CO NGA 18-09-12" xfId="441"/>
    <cellStyle name="_FS 31 Dec 2006_BAO GIA-moi_thong ke kinh PHONG mau-sxl1" xfId="442"/>
    <cellStyle name="_FS 31 Dec 2006_BAO GIA-moi_thong ke kinh Tang mau-sxl1" xfId="443"/>
    <cellStyle name="_FS 31 Dec 2006_CSMH 1C" xfId="444"/>
    <cellStyle name="_FS 31 Dec 2006_Sliding door&amp;window SR_SF" xfId="445"/>
    <cellStyle name="_FS 31 Dec 2006_Sliding door&amp;window SR_SF 2" xfId="446"/>
    <cellStyle name="_FS 31 Dec 2006_Sliding door&amp;window SR_SF 3" xfId="447"/>
    <cellStyle name="_FS 31 Dec 2006_Sliding door&amp;window SR_SF 4" xfId="448"/>
    <cellStyle name="_FS 31 Dec 2006_Sliding door&amp;window SR_SF 5" xfId="449"/>
    <cellStyle name="_FS 31 Dec 2006_Sliding door&amp;window SR_SF_Dat kinh so   -17082012-Nha A Trung TGD" xfId="450"/>
    <cellStyle name="_FS 31 Dec 2006_Sliding door&amp;window SR_SF_KINH NHA CO NGA 18-09-12" xfId="451"/>
    <cellStyle name="_FS 31 Dec 2006_Sliding door&amp;window SR_SF_thong ke kinh PHONG mau-sxl1" xfId="452"/>
    <cellStyle name="_FS 31 Dec 2006_Sliding door&amp;window SR_SF_thong ke kinh Tang mau-sxl1" xfId="453"/>
    <cellStyle name="_Fsection" xfId="454"/>
    <cellStyle name="_G section_advance to employee 141-05" xfId="455"/>
    <cellStyle name="_HAN SU DUNG" xfId="456"/>
    <cellStyle name="_Harada - Taxations 311206 - v1" xfId="457"/>
    <cellStyle name="_Harada - Taxations 311206 - v1_BAO GIA-moi" xfId="458"/>
    <cellStyle name="_Harada - Taxations 311206 - v1_Casement door" xfId="459"/>
    <cellStyle name="_Harada - Taxations 311206 - v1_Casement window" xfId="460"/>
    <cellStyle name="_Harada - Taxations 311206 - v1_Sliding door&amp;window SR_SF" xfId="461"/>
    <cellStyle name="_HoSoQTThue2006" xfId="462"/>
    <cellStyle name="_HoSoQTThue2006 v1" xfId="463"/>
    <cellStyle name="_HoSoQTThue2006_11h_30032007_sent EY" xfId="464"/>
    <cellStyle name="_ICP - WTB 31 Dec 06" xfId="465"/>
    <cellStyle name="_ICP -SAD 2006" xfId="466"/>
    <cellStyle name="_ICP -SAD 2006_BAO GIA-moi" xfId="467"/>
    <cellStyle name="_ICP -SAD 2006_BAO GIA-moi 2" xfId="468"/>
    <cellStyle name="_ICP -SAD 2006_BAO GIA-moi 3" xfId="469"/>
    <cellStyle name="_ICP -SAD 2006_BAO GIA-moi 4" xfId="470"/>
    <cellStyle name="_ICP -SAD 2006_BAO GIA-moi 5" xfId="471"/>
    <cellStyle name="_ICP -SAD 2006_BAO GIA-moi_Dat kinh so   -17082012-Nha A Trung TGD" xfId="472"/>
    <cellStyle name="_ICP -SAD 2006_BAO GIA-moi_KINH NHA CO NGA 18-09-12" xfId="473"/>
    <cellStyle name="_ICP -SAD 2006_BAO GIA-moi_thong ke kinh PHONG mau-sxl1" xfId="474"/>
    <cellStyle name="_ICP -SAD 2006_BAO GIA-moi_thong ke kinh Tang mau-sxl1" xfId="475"/>
    <cellStyle name="_ICP -SAD 2006_CSMH 1C" xfId="476"/>
    <cellStyle name="_ICP -SAD 2006_Sliding door&amp;window SR_SF" xfId="477"/>
    <cellStyle name="_ICP -SAD 2006_Sliding door&amp;window SR_SF 2" xfId="478"/>
    <cellStyle name="_ICP -SAD 2006_Sliding door&amp;window SR_SF 3" xfId="479"/>
    <cellStyle name="_ICP -SAD 2006_Sliding door&amp;window SR_SF 4" xfId="480"/>
    <cellStyle name="_ICP -SAD 2006_Sliding door&amp;window SR_SF 5" xfId="481"/>
    <cellStyle name="_ICP -SAD 2006_Sliding door&amp;window SR_SF_Dat kinh so   -17082012-Nha A Trung TGD" xfId="482"/>
    <cellStyle name="_ICP -SAD 2006_Sliding door&amp;window SR_SF_KINH NHA CO NGA 18-09-12" xfId="483"/>
    <cellStyle name="_ICP -SAD 2006_Sliding door&amp;window SR_SF_thong ke kinh PHONG mau-sxl1" xfId="484"/>
    <cellStyle name="_ICP -SAD 2006_Sliding door&amp;window SR_SF_thong ke kinh Tang mau-sxl1" xfId="485"/>
    <cellStyle name="_Intangible Assets detail WPs v2" xfId="486"/>
    <cellStyle name="_Intangible Assets detail WPs v2_BAO GIA-moi" xfId="487"/>
    <cellStyle name="_Intangible Assets detail WPs v2_Casement door" xfId="488"/>
    <cellStyle name="_Intangible Assets detail WPs v2_Casement window" xfId="489"/>
    <cellStyle name="_Intangible Assets detail WPs v2_Sliding door&amp;window SR_SF" xfId="490"/>
    <cellStyle name="_KD - Stock WPs - NTHH" xfId="491"/>
    <cellStyle name="_KD - Stock WPs - NTHH_BAO GIA-moi" xfId="492"/>
    <cellStyle name="_KD - Stock WPs - NTHH_BAO GIA-moi 2" xfId="493"/>
    <cellStyle name="_KD - Stock WPs - NTHH_BAO GIA-moi 3" xfId="494"/>
    <cellStyle name="_KD - Stock WPs - NTHH_BAO GIA-moi 4" xfId="495"/>
    <cellStyle name="_KD - Stock WPs - NTHH_BAO GIA-moi 5" xfId="496"/>
    <cellStyle name="_KD - Stock WPs - NTHH_BAO GIA-moi_Dat kinh so   -17082012-Nha A Trung TGD" xfId="497"/>
    <cellStyle name="_KD - Stock WPs - NTHH_BAO GIA-moi_KINH NHA CO NGA 18-09-12" xfId="498"/>
    <cellStyle name="_KD - Stock WPs - NTHH_BAO GIA-moi_thong ke kinh PHONG mau-sxl1" xfId="499"/>
    <cellStyle name="_KD - Stock WPs - NTHH_BAO GIA-moi_thong ke kinh Tang mau-sxl1" xfId="500"/>
    <cellStyle name="_KD - Stock WPs - NTHH_CSMH 1C" xfId="501"/>
    <cellStyle name="_KD - Stock WPs - NTHH_Sliding door&amp;window SR_SF" xfId="502"/>
    <cellStyle name="_KD - Stock WPs - NTHH_Sliding door&amp;window SR_SF 2" xfId="503"/>
    <cellStyle name="_KD - Stock WPs - NTHH_Sliding door&amp;window SR_SF 3" xfId="504"/>
    <cellStyle name="_KD - Stock WPs - NTHH_Sliding door&amp;window SR_SF 4" xfId="505"/>
    <cellStyle name="_KD - Stock WPs - NTHH_Sliding door&amp;window SR_SF 5" xfId="506"/>
    <cellStyle name="_KD - Stock WPs - NTHH_Sliding door&amp;window SR_SF_Dat kinh so   -17082012-Nha A Trung TGD" xfId="507"/>
    <cellStyle name="_KD - Stock WPs - NTHH_Sliding door&amp;window SR_SF_KINH NHA CO NGA 18-09-12" xfId="508"/>
    <cellStyle name="_KD - Stock WPs - NTHH_Sliding door&amp;window SR_SF_thong ke kinh PHONG mau-sxl1" xfId="509"/>
    <cellStyle name="_KD - Stock WPs - NTHH_Sliding door&amp;window SR_SF_thong ke kinh Tang mau-sxl1" xfId="510"/>
    <cellStyle name="_KT (2)" xfId="511"/>
    <cellStyle name="_KT (2)_1" xfId="512"/>
    <cellStyle name="_KT (2)_1_bao cao ton chi tiet tuan 23-06" xfId="513"/>
    <cellStyle name="_KT (2)_1_Chi_phi_627_theo_thang_08 " xfId="514"/>
    <cellStyle name="_KT (2)_1_Chi_phi_627_theo_thang_08  2" xfId="515"/>
    <cellStyle name="_KT (2)_1_Chi_phi_627_theo_thang_08  3" xfId="516"/>
    <cellStyle name="_KT (2)_1_Chi_phi_627_theo_thang_08  4" xfId="517"/>
    <cellStyle name="_KT (2)_1_Chi_phi_627_theo_thang_08  5" xfId="518"/>
    <cellStyle name="_KT (2)_1_ITA 100 - TAS - H section - Investment - 31.12.07" xfId="519"/>
    <cellStyle name="_KT (2)_1_ITA 100 - TAS - H section - Investment - 31.12.07 2" xfId="520"/>
    <cellStyle name="_KT (2)_1_ITA 100 - TAS - H section - Investment - 31.12.07 3" xfId="521"/>
    <cellStyle name="_KT (2)_1_ITA 100 - TAS - H section - Investment - 31.12.07 4" xfId="522"/>
    <cellStyle name="_KT (2)_1_ITA 100 - TAS - H section - Investment - 31.12.07 5" xfId="523"/>
    <cellStyle name="_KT (2)_1_ITA 100 - TAS - S section - Sales-31.12.07" xfId="524"/>
    <cellStyle name="_KT (2)_1_ITA 100 - TAS - S section - Sales-31.12.07 2" xfId="525"/>
    <cellStyle name="_KT (2)_1_ITA 100 - TAS - S section - Sales-31.12.07 3" xfId="526"/>
    <cellStyle name="_KT (2)_1_ITA 100 - TAS - S section - Sales-31.12.07 4" xfId="527"/>
    <cellStyle name="_KT (2)_1_ITA 100 - TAS - S section - Sales-31.12.07 5" xfId="528"/>
    <cellStyle name="_KT (2)_1_Lora-tungchau" xfId="529"/>
    <cellStyle name="_KT (2)_1_Qt-HT3PQ1(CauKho)" xfId="530"/>
    <cellStyle name="_KT (2)_2" xfId="531"/>
    <cellStyle name="_KT (2)_2_TG-TH" xfId="532"/>
    <cellStyle name="_KT (2)_2_TG-TH_BAO CAO KLCT PT2000" xfId="533"/>
    <cellStyle name="_KT (2)_2_TG-TH_BAO CAO PT2000" xfId="534"/>
    <cellStyle name="_KT (2)_2_TG-TH_BAO CAO PT2000_Book1" xfId="535"/>
    <cellStyle name="_KT (2)_2_TG-TH_Bao cao XDCB 2001 - T11 KH dieu chinh 20-11-THAI" xfId="536"/>
    <cellStyle name="_KT (2)_2_TG-TH_Book1" xfId="537"/>
    <cellStyle name="_KT (2)_2_TG-TH_Book1_1" xfId="538"/>
    <cellStyle name="_KT (2)_2_TG-TH_Book1_2" xfId="539"/>
    <cellStyle name="_KT (2)_2_TG-TH_Book1_3" xfId="540"/>
    <cellStyle name="_KT (2)_2_TG-TH_Book1_4" xfId="541"/>
    <cellStyle name="_KT (2)_2_TG-TH_Chi_phi_627_theo_thang_08 " xfId="542"/>
    <cellStyle name="_KT (2)_2_TG-TH_DTCDT MR.2N110.HOCMON.TDTOAN.CCUNG" xfId="543"/>
    <cellStyle name="_KT (2)_2_TG-TH_ITA 100 - TAS - H section - Investment - 31.12.07" xfId="544"/>
    <cellStyle name="_KT (2)_2_TG-TH_ITA 100 - TAS - S section - Sales-31.12.07" xfId="545"/>
    <cellStyle name="_KT (2)_2_TG-TH_Lora-tungchau" xfId="546"/>
    <cellStyle name="_KT (2)_2_TG-TH_PGIA-phieu tham tra Kho bac" xfId="547"/>
    <cellStyle name="_KT (2)_2_TG-TH_PT02-02" xfId="548"/>
    <cellStyle name="_KT (2)_2_TG-TH_PT02-02_Book1" xfId="549"/>
    <cellStyle name="_KT (2)_2_TG-TH_PT02-03" xfId="550"/>
    <cellStyle name="_KT (2)_2_TG-TH_PT02-03_Book1" xfId="551"/>
    <cellStyle name="_KT (2)_2_TG-TH_Qt-HT3PQ1(CauKho)" xfId="552"/>
    <cellStyle name="_KT (2)_3" xfId="553"/>
    <cellStyle name="_KT (2)_3_TG-TH" xfId="554"/>
    <cellStyle name="_KT (2)_3_TG-TH_Book1" xfId="555"/>
    <cellStyle name="_KT (2)_3_TG-TH_Book1_1" xfId="556"/>
    <cellStyle name="_KT (2)_3_TG-TH_Book1_BC-QT-WB-dthao" xfId="557"/>
    <cellStyle name="_KT (2)_3_TG-TH_ITA 100 - TAS - H section - Investment - 31.12.07" xfId="558"/>
    <cellStyle name="_KT (2)_3_TG-TH_ITA 100 - TAS - S section - Sales-31.12.07" xfId="559"/>
    <cellStyle name="_KT (2)_3_TG-TH_Lora-tungchau" xfId="560"/>
    <cellStyle name="_KT (2)_3_TG-TH_PERSONAL" xfId="561"/>
    <cellStyle name="_KT (2)_3_TG-TH_PERSONAL_HTQ.8 GD1" xfId="562"/>
    <cellStyle name="_KT (2)_3_TG-TH_PERSONAL_Tong hop KHCB 2001" xfId="563"/>
    <cellStyle name="_KT (2)_3_TG-TH_Qt-HT3PQ1(CauKho)" xfId="564"/>
    <cellStyle name="_KT (2)_4" xfId="565"/>
    <cellStyle name="_KT (2)_4_BAO CAO KLCT PT2000" xfId="566"/>
    <cellStyle name="_KT (2)_4_BAO CAO PT2000" xfId="567"/>
    <cellStyle name="_KT (2)_4_BAO CAO PT2000_Book1" xfId="568"/>
    <cellStyle name="_KT (2)_4_Bao cao XDCB 2001 - T11 KH dieu chinh 20-11-THAI" xfId="569"/>
    <cellStyle name="_KT (2)_4_Book1" xfId="570"/>
    <cellStyle name="_KT (2)_4_Book1_1" xfId="571"/>
    <cellStyle name="_KT (2)_4_Book1_2" xfId="572"/>
    <cellStyle name="_KT (2)_4_Book1_3" xfId="573"/>
    <cellStyle name="_KT (2)_4_Book1_4" xfId="574"/>
    <cellStyle name="_KT (2)_4_Chi_phi_627_theo_thang_08 " xfId="575"/>
    <cellStyle name="_KT (2)_4_DTCDT MR.2N110.HOCMON.TDTOAN.CCUNG" xfId="576"/>
    <cellStyle name="_KT (2)_4_ITA 100 - TAS - H section - Investment - 31.12.07" xfId="577"/>
    <cellStyle name="_KT (2)_4_ITA 100 - TAS - S section - Sales-31.12.07" xfId="578"/>
    <cellStyle name="_KT (2)_4_Lora-tungchau" xfId="579"/>
    <cellStyle name="_KT (2)_4_PGIA-phieu tham tra Kho bac" xfId="580"/>
    <cellStyle name="_KT (2)_4_PT02-02" xfId="581"/>
    <cellStyle name="_KT (2)_4_PT02-02_Book1" xfId="582"/>
    <cellStyle name="_KT (2)_4_PT02-03" xfId="583"/>
    <cellStyle name="_KT (2)_4_PT02-03_Book1" xfId="584"/>
    <cellStyle name="_KT (2)_4_Qt-HT3PQ1(CauKho)" xfId="585"/>
    <cellStyle name="_KT (2)_4_TG-TH" xfId="586"/>
    <cellStyle name="_KT (2)_5" xfId="587"/>
    <cellStyle name="_KT (2)_5_BAO CAO KLCT PT2000" xfId="588"/>
    <cellStyle name="_KT (2)_5_BAO CAO PT2000" xfId="589"/>
    <cellStyle name="_KT (2)_5_BAO CAO PT2000_Book1" xfId="590"/>
    <cellStyle name="_KT (2)_5_Bao cao XDCB 2001 - T11 KH dieu chinh 20-11-THAI" xfId="591"/>
    <cellStyle name="_KT (2)_5_Book1" xfId="592"/>
    <cellStyle name="_KT (2)_5_Book1_1" xfId="593"/>
    <cellStyle name="_KT (2)_5_Book1_2" xfId="594"/>
    <cellStyle name="_KT (2)_5_Book1_3" xfId="595"/>
    <cellStyle name="_KT (2)_5_Book1_4" xfId="596"/>
    <cellStyle name="_KT (2)_5_Book1_BC-QT-WB-dthao" xfId="597"/>
    <cellStyle name="_KT (2)_5_Chi_phi_627_theo_thang_08 " xfId="598"/>
    <cellStyle name="_KT (2)_5_DTCDT MR.2N110.HOCMON.TDTOAN.CCUNG" xfId="599"/>
    <cellStyle name="_KT (2)_5_ITA 100 - TAS - H section - Investment - 31.12.07" xfId="600"/>
    <cellStyle name="_KT (2)_5_ITA 100 - TAS - S section - Sales-31.12.07" xfId="601"/>
    <cellStyle name="_KT (2)_5_Lora-tungchau" xfId="602"/>
    <cellStyle name="_KT (2)_5_PGIA-phieu tham tra Kho bac" xfId="603"/>
    <cellStyle name="_KT (2)_5_PT02-02" xfId="604"/>
    <cellStyle name="_KT (2)_5_PT02-02_Book1" xfId="605"/>
    <cellStyle name="_KT (2)_5_PT02-03" xfId="606"/>
    <cellStyle name="_KT (2)_5_PT02-03_Book1" xfId="607"/>
    <cellStyle name="_KT (2)_5_Qt-HT3PQ1(CauKho)" xfId="608"/>
    <cellStyle name="_KT (2)_Book1" xfId="609"/>
    <cellStyle name="_KT (2)_Book1_1" xfId="610"/>
    <cellStyle name="_KT (2)_Book1_BC-QT-WB-dthao" xfId="611"/>
    <cellStyle name="_KT (2)_ITA 100 - TAS - H section - Investment - 31.12.07" xfId="612"/>
    <cellStyle name="_KT (2)_ITA 100 - TAS - S section - Sales-31.12.07" xfId="613"/>
    <cellStyle name="_KT (2)_Lora-tungchau" xfId="614"/>
    <cellStyle name="_KT (2)_PERSONAL" xfId="615"/>
    <cellStyle name="_KT (2)_PERSONAL_HTQ.8 GD1" xfId="616"/>
    <cellStyle name="_KT (2)_PERSONAL_Tong hop KHCB 2001" xfId="617"/>
    <cellStyle name="_KT (2)_Qt-HT3PQ1(CauKho)" xfId="618"/>
    <cellStyle name="_KT (2)_TG-TH" xfId="619"/>
    <cellStyle name="_KT_TG" xfId="620"/>
    <cellStyle name="_KT_TG_1" xfId="621"/>
    <cellStyle name="_KT_TG_1_BAO CAO KLCT PT2000" xfId="622"/>
    <cellStyle name="_KT_TG_1_BAO CAO PT2000" xfId="623"/>
    <cellStyle name="_KT_TG_1_BAO CAO PT2000_Book1" xfId="624"/>
    <cellStyle name="_KT_TG_1_Bao cao XDCB 2001 - T11 KH dieu chinh 20-11-THAI" xfId="625"/>
    <cellStyle name="_KT_TG_1_Book1" xfId="626"/>
    <cellStyle name="_KT_TG_1_Book1_1" xfId="627"/>
    <cellStyle name="_KT_TG_1_Book1_2" xfId="628"/>
    <cellStyle name="_KT_TG_1_Book1_3" xfId="629"/>
    <cellStyle name="_KT_TG_1_Book1_4" xfId="630"/>
    <cellStyle name="_KT_TG_1_Book1_BC-QT-WB-dthao" xfId="631"/>
    <cellStyle name="_KT_TG_1_Chi_phi_627_theo_thang_08 " xfId="632"/>
    <cellStyle name="_KT_TG_1_DTCDT MR.2N110.HOCMON.TDTOAN.CCUNG" xfId="633"/>
    <cellStyle name="_KT_TG_1_ITA 100 - TAS - H section - Investment - 31.12.07" xfId="634"/>
    <cellStyle name="_KT_TG_1_ITA 100 - TAS - S section - Sales-31.12.07" xfId="635"/>
    <cellStyle name="_KT_TG_1_Lora-tungchau" xfId="636"/>
    <cellStyle name="_KT_TG_1_PGIA-phieu tham tra Kho bac" xfId="637"/>
    <cellStyle name="_KT_TG_1_PT02-02" xfId="638"/>
    <cellStyle name="_KT_TG_1_PT02-02_Book1" xfId="639"/>
    <cellStyle name="_KT_TG_1_PT02-03" xfId="640"/>
    <cellStyle name="_KT_TG_1_PT02-03_Book1" xfId="641"/>
    <cellStyle name="_KT_TG_1_Qt-HT3PQ1(CauKho)" xfId="642"/>
    <cellStyle name="_KT_TG_2" xfId="643"/>
    <cellStyle name="_KT_TG_2_BAO CAO KLCT PT2000" xfId="644"/>
    <cellStyle name="_KT_TG_2_BAO CAO PT2000" xfId="645"/>
    <cellStyle name="_KT_TG_2_BAO CAO PT2000_Book1" xfId="646"/>
    <cellStyle name="_KT_TG_2_Bao cao XDCB 2001 - T11 KH dieu chinh 20-11-THAI" xfId="647"/>
    <cellStyle name="_KT_TG_2_Book1" xfId="648"/>
    <cellStyle name="_KT_TG_2_Book1_1" xfId="649"/>
    <cellStyle name="_KT_TG_2_Book1_2" xfId="650"/>
    <cellStyle name="_KT_TG_2_Book1_3" xfId="651"/>
    <cellStyle name="_KT_TG_2_Book1_4" xfId="652"/>
    <cellStyle name="_KT_TG_2_Chi_phi_627_theo_thang_08 " xfId="653"/>
    <cellStyle name="_KT_TG_2_DTCDT MR.2N110.HOCMON.TDTOAN.CCUNG" xfId="654"/>
    <cellStyle name="_KT_TG_2_ITA 100 - TAS - H section - Investment - 31.12.07" xfId="655"/>
    <cellStyle name="_KT_TG_2_ITA 100 - TAS - S section - Sales-31.12.07" xfId="656"/>
    <cellStyle name="_KT_TG_2_Lora-tungchau" xfId="657"/>
    <cellStyle name="_KT_TG_2_PGIA-phieu tham tra Kho bac" xfId="658"/>
    <cellStyle name="_KT_TG_2_PT02-02" xfId="659"/>
    <cellStyle name="_KT_TG_2_PT02-02_Book1" xfId="660"/>
    <cellStyle name="_KT_TG_2_PT02-03" xfId="661"/>
    <cellStyle name="_KT_TG_2_PT02-03_Book1" xfId="662"/>
    <cellStyle name="_KT_TG_2_Qt-HT3PQ1(CauKho)" xfId="663"/>
    <cellStyle name="_KT_TG_3" xfId="664"/>
    <cellStyle name="_KT_TG_4" xfId="665"/>
    <cellStyle name="_KT_TG_4_bao cao ton chi tiet tuan 23-06" xfId="666"/>
    <cellStyle name="_KT_TG_4_Chi_phi_627_theo_thang_08 " xfId="667"/>
    <cellStyle name="_KT_TG_4_Chi_phi_627_theo_thang_08  2" xfId="668"/>
    <cellStyle name="_KT_TG_4_Chi_phi_627_theo_thang_08  3" xfId="669"/>
    <cellStyle name="_KT_TG_4_Chi_phi_627_theo_thang_08  4" xfId="670"/>
    <cellStyle name="_KT_TG_4_Chi_phi_627_theo_thang_08  5" xfId="671"/>
    <cellStyle name="_KT_TG_4_ITA 100 - TAS - H section - Investment - 31.12.07" xfId="672"/>
    <cellStyle name="_KT_TG_4_ITA 100 - TAS - H section - Investment - 31.12.07 2" xfId="673"/>
    <cellStyle name="_KT_TG_4_ITA 100 - TAS - H section - Investment - 31.12.07 3" xfId="674"/>
    <cellStyle name="_KT_TG_4_ITA 100 - TAS - H section - Investment - 31.12.07 4" xfId="675"/>
    <cellStyle name="_KT_TG_4_ITA 100 - TAS - H section - Investment - 31.12.07 5" xfId="676"/>
    <cellStyle name="_KT_TG_4_ITA 100 - TAS - S section - Sales-31.12.07" xfId="677"/>
    <cellStyle name="_KT_TG_4_ITA 100 - TAS - S section - Sales-31.12.07 2" xfId="678"/>
    <cellStyle name="_KT_TG_4_ITA 100 - TAS - S section - Sales-31.12.07 3" xfId="679"/>
    <cellStyle name="_KT_TG_4_ITA 100 - TAS - S section - Sales-31.12.07 4" xfId="680"/>
    <cellStyle name="_KT_TG_4_ITA 100 - TAS - S section - Sales-31.12.07 5" xfId="681"/>
    <cellStyle name="_KT_TG_4_Lora-tungchau" xfId="682"/>
    <cellStyle name="_KT_TG_4_Qt-HT3PQ1(CauKho)" xfId="683"/>
    <cellStyle name="_Long term prepayments" xfId="684"/>
    <cellStyle name="_Long term prepayments_BAO GIA-moi" xfId="685"/>
    <cellStyle name="_Long term prepayments_BAO GIA-moi 2" xfId="686"/>
    <cellStyle name="_Long term prepayments_BAO GIA-moi 3" xfId="687"/>
    <cellStyle name="_Long term prepayments_BAO GIA-moi 4" xfId="688"/>
    <cellStyle name="_Long term prepayments_BAO GIA-moi 5" xfId="689"/>
    <cellStyle name="_Long term prepayments_BAO GIA-moi_Dat kinh so   -17082012-Nha A Trung TGD" xfId="690"/>
    <cellStyle name="_Long term prepayments_BAO GIA-moi_KINH NHA CO NGA 18-09-12" xfId="691"/>
    <cellStyle name="_Long term prepayments_BAO GIA-moi_thong ke kinh PHONG mau-sxl1" xfId="692"/>
    <cellStyle name="_Long term prepayments_BAO GIA-moi_thong ke kinh Tang mau-sxl1" xfId="693"/>
    <cellStyle name="_Long term prepayments_CSMH 1C" xfId="694"/>
    <cellStyle name="_Long term prepayments_Sliding door&amp;window SR_SF" xfId="695"/>
    <cellStyle name="_Long term prepayments_Sliding door&amp;window SR_SF 2" xfId="696"/>
    <cellStyle name="_Long term prepayments_Sliding door&amp;window SR_SF 3" xfId="697"/>
    <cellStyle name="_Long term prepayments_Sliding door&amp;window SR_SF 4" xfId="698"/>
    <cellStyle name="_Long term prepayments_Sliding door&amp;window SR_SF 5" xfId="699"/>
    <cellStyle name="_Long term prepayments_Sliding door&amp;window SR_SF_Dat kinh so   -17082012-Nha A Trung TGD" xfId="700"/>
    <cellStyle name="_Long term prepayments_Sliding door&amp;window SR_SF_KINH NHA CO NGA 18-09-12" xfId="701"/>
    <cellStyle name="_Long term prepayments_Sliding door&amp;window SR_SF_thong ke kinh PHONG mau-sxl1" xfId="702"/>
    <cellStyle name="_Long term prepayments_Sliding door&amp;window SR_SF_thong ke kinh Tang mau-sxl1" xfId="703"/>
    <cellStyle name="_Lora-tungchau" xfId="704"/>
    <cellStyle name="_Malaya_F section 300906.final " xfId="705"/>
    <cellStyle name="_Malaya_F section 300906.final _BAO GIA-moi" xfId="706"/>
    <cellStyle name="_Malaya_F section 300906.final _BAO GIA-moi 2" xfId="707"/>
    <cellStyle name="_Malaya_F section 300906.final _BAO GIA-moi 3" xfId="708"/>
    <cellStyle name="_Malaya_F section 300906.final _BAO GIA-moi 4" xfId="709"/>
    <cellStyle name="_Malaya_F section 300906.final _BAO GIA-moi 5" xfId="710"/>
    <cellStyle name="_Malaya_F section 300906.final _BAO GIA-moi_Dat kinh so   -17082012-Nha A Trung TGD" xfId="711"/>
    <cellStyle name="_Malaya_F section 300906.final _BAO GIA-moi_KINH NHA CO NGA 18-09-12" xfId="712"/>
    <cellStyle name="_Malaya_F section 300906.final _BAO GIA-moi_thong ke kinh PHONG mau-sxl1" xfId="713"/>
    <cellStyle name="_Malaya_F section 300906.final _BAO GIA-moi_thong ke kinh Tang mau-sxl1" xfId="714"/>
    <cellStyle name="_Malaya_F section 300906.final _CSMH 1C" xfId="715"/>
    <cellStyle name="_Malaya_F section 300906.final _Sliding door&amp;window SR_SF" xfId="716"/>
    <cellStyle name="_Malaya_F section 300906.final _Sliding door&amp;window SR_SF 2" xfId="717"/>
    <cellStyle name="_Malaya_F section 300906.final _Sliding door&amp;window SR_SF 3" xfId="718"/>
    <cellStyle name="_Malaya_F section 300906.final _Sliding door&amp;window SR_SF 4" xfId="719"/>
    <cellStyle name="_Malaya_F section 300906.final _Sliding door&amp;window SR_SF 5" xfId="720"/>
    <cellStyle name="_Malaya_F section 300906.final _Sliding door&amp;window SR_SF_Dat kinh so   -17082012-Nha A Trung TGD" xfId="721"/>
    <cellStyle name="_Malaya_F section 300906.final _Sliding door&amp;window SR_SF_KINH NHA CO NGA 18-09-12" xfId="722"/>
    <cellStyle name="_Malaya_F section 300906.final _Sliding door&amp;window SR_SF_thong ke kinh PHONG mau-sxl1" xfId="723"/>
    <cellStyle name="_Malaya_F section 300906.final _Sliding door&amp;window SR_SF_thong ke kinh Tang mau-sxl1" xfId="724"/>
    <cellStyle name="_mo hat" xfId="725"/>
    <cellStyle name="_mo hat_BAO GIA-moi" xfId="726"/>
    <cellStyle name="_mo hat_BAO GIA-moi 2" xfId="727"/>
    <cellStyle name="_mo hat_BAO GIA-moi 3" xfId="728"/>
    <cellStyle name="_mo hat_BAO GIA-moi 4" xfId="729"/>
    <cellStyle name="_mo hat_BAO GIA-moi 5" xfId="730"/>
    <cellStyle name="_mo hat_BAO GIA-moi_Dat kinh so   -17082012-Nha A Trung TGD" xfId="731"/>
    <cellStyle name="_mo hat_BAO GIA-moi_KINH NHA CO NGA 18-09-12" xfId="732"/>
    <cellStyle name="_mo hat_BAO GIA-moi_thong ke kinh PHONG mau-sxl1" xfId="733"/>
    <cellStyle name="_mo hat_BAO GIA-moi_thong ke kinh Tang mau-sxl1" xfId="734"/>
    <cellStyle name="_mo hat_CSMH 1C" xfId="735"/>
    <cellStyle name="_mo hat_Sliding door&amp;window SR_SF" xfId="736"/>
    <cellStyle name="_mo hat_Sliding door&amp;window SR_SF 2" xfId="737"/>
    <cellStyle name="_mo hat_Sliding door&amp;window SR_SF 3" xfId="738"/>
    <cellStyle name="_mo hat_Sliding door&amp;window SR_SF 4" xfId="739"/>
    <cellStyle name="_mo hat_Sliding door&amp;window SR_SF 5" xfId="740"/>
    <cellStyle name="_mo hat_Sliding door&amp;window SR_SF_Dat kinh so   -17082012-Nha A Trung TGD" xfId="741"/>
    <cellStyle name="_mo hat_Sliding door&amp;window SR_SF_KINH NHA CO NGA 18-09-12" xfId="742"/>
    <cellStyle name="_mo hat_Sliding door&amp;window SR_SF_thong ke kinh PHONG mau-sxl1" xfId="743"/>
    <cellStyle name="_mo hat_Sliding door&amp;window SR_SF_thong ke kinh Tang mau-sxl1" xfId="744"/>
    <cellStyle name="_mo quay, lat" xfId="745"/>
    <cellStyle name="_mo quay, lat_BAO GIA-moi" xfId="746"/>
    <cellStyle name="_mo quay, lat_BAO GIA-moi 2" xfId="747"/>
    <cellStyle name="_mo quay, lat_BAO GIA-moi 3" xfId="748"/>
    <cellStyle name="_mo quay, lat_BAO GIA-moi 4" xfId="749"/>
    <cellStyle name="_mo quay, lat_BAO GIA-moi 5" xfId="750"/>
    <cellStyle name="_mo quay, lat_BAO GIA-moi_Dat kinh so   -17082012-Nha A Trung TGD" xfId="751"/>
    <cellStyle name="_mo quay, lat_BAO GIA-moi_KINH NHA CO NGA 18-09-12" xfId="752"/>
    <cellStyle name="_mo quay, lat_BAO GIA-moi_thong ke kinh PHONG mau-sxl1" xfId="753"/>
    <cellStyle name="_mo quay, lat_BAO GIA-moi_thong ke kinh Tang mau-sxl1" xfId="754"/>
    <cellStyle name="_mo quay, lat_CSMH 1C" xfId="755"/>
    <cellStyle name="_mo quay, lat_Sliding door&amp;window SR_SF" xfId="756"/>
    <cellStyle name="_mo quay, lat_Sliding door&amp;window SR_SF 2" xfId="757"/>
    <cellStyle name="_mo quay, lat_Sliding door&amp;window SR_SF 3" xfId="758"/>
    <cellStyle name="_mo quay, lat_Sliding door&amp;window SR_SF 4" xfId="759"/>
    <cellStyle name="_mo quay, lat_Sliding door&amp;window SR_SF 5" xfId="760"/>
    <cellStyle name="_mo quay, lat_Sliding door&amp;window SR_SF_Dat kinh so   -17082012-Nha A Trung TGD" xfId="761"/>
    <cellStyle name="_mo quay, lat_Sliding door&amp;window SR_SF_KINH NHA CO NGA 18-09-12" xfId="762"/>
    <cellStyle name="_mo quay, lat_Sliding door&amp;window SR_SF_thong ke kinh PHONG mau-sxl1" xfId="763"/>
    <cellStyle name="_mo quay, lat_Sliding door&amp;window SR_SF_thong ke kinh Tang mau-sxl1" xfId="764"/>
    <cellStyle name="_MUA NGOAI 2007" xfId="765"/>
    <cellStyle name="_NVL PHỤ ha noi" xfId="766"/>
    <cellStyle name="_NVL PHỤ ha noi 2" xfId="767"/>
    <cellStyle name="_NVL PHỤ ha noi 3" xfId="768"/>
    <cellStyle name="_NVL PHỤ ha noi 4" xfId="769"/>
    <cellStyle name="_NVL PHỤ ha noi 5" xfId="770"/>
    <cellStyle name="_OEM - WTB 31.12.06" xfId="771"/>
    <cellStyle name="_PERSONAL" xfId="772"/>
    <cellStyle name="_PERSONAL_HTQ.8 GD1" xfId="773"/>
    <cellStyle name="_PERSONAL_Tong hop KHCB 2001" xfId="774"/>
    <cellStyle name="_Purchasing 2006 YTD" xfId="775"/>
    <cellStyle name="_Purchasing 2006 YTD_BAO GIA-moi" xfId="776"/>
    <cellStyle name="_Purchasing 2006 YTD_BAO GIA-moi 2" xfId="777"/>
    <cellStyle name="_Purchasing 2006 YTD_BAO GIA-moi 3" xfId="778"/>
    <cellStyle name="_Purchasing 2006 YTD_BAO GIA-moi 4" xfId="779"/>
    <cellStyle name="_Purchasing 2006 YTD_BAO GIA-moi 5" xfId="780"/>
    <cellStyle name="_Purchasing 2006 YTD_BAO GIA-moi_Dat kinh so   -17082012-Nha A Trung TGD" xfId="781"/>
    <cellStyle name="_Purchasing 2006 YTD_BAO GIA-moi_KINH NHA CO NGA 18-09-12" xfId="782"/>
    <cellStyle name="_Purchasing 2006 YTD_BAO GIA-moi_thong ke kinh PHONG mau-sxl1" xfId="783"/>
    <cellStyle name="_Purchasing 2006 YTD_BAO GIA-moi_thong ke kinh Tang mau-sxl1" xfId="784"/>
    <cellStyle name="_Purchasing 2006 YTD_CSMH 1C" xfId="785"/>
    <cellStyle name="_Purchasing 2006 YTD_Sliding door&amp;window SR_SF" xfId="786"/>
    <cellStyle name="_Purchasing 2006 YTD_Sliding door&amp;window SR_SF 2" xfId="787"/>
    <cellStyle name="_Purchasing 2006 YTD_Sliding door&amp;window SR_SF 3" xfId="788"/>
    <cellStyle name="_Purchasing 2006 YTD_Sliding door&amp;window SR_SF 4" xfId="789"/>
    <cellStyle name="_Purchasing 2006 YTD_Sliding door&amp;window SR_SF 5" xfId="790"/>
    <cellStyle name="_Purchasing 2006 YTD_Sliding door&amp;window SR_SF_Dat kinh so   -17082012-Nha A Trung TGD" xfId="791"/>
    <cellStyle name="_Purchasing 2006 YTD_Sliding door&amp;window SR_SF_KINH NHA CO NGA 18-09-12" xfId="792"/>
    <cellStyle name="_Purchasing 2006 YTD_Sliding door&amp;window SR_SF_thong ke kinh PHONG mau-sxl1" xfId="793"/>
    <cellStyle name="_Purchasing 2006 YTD_Sliding door&amp;window SR_SF_thong ke kinh Tang mau-sxl1" xfId="794"/>
    <cellStyle name="_Qt-HT3PQ1(CauKho)" xfId="795"/>
    <cellStyle name="_QUYET TOAN THUE TNCN NGUOI LAO DONG NAM 2006" xfId="796"/>
    <cellStyle name="_RCL - WTB 31.12.06 - v3" xfId="797"/>
    <cellStyle name="_RCL - WTB 31.12.06 - v3_BAO GIA-moi" xfId="798"/>
    <cellStyle name="_RCL - WTB 31.12.06 - v3_Casement door" xfId="799"/>
    <cellStyle name="_RCL - WTB 31.12.06 - v3_Casement window" xfId="800"/>
    <cellStyle name="_RCL - WTB 31.12.06 - v3_Sliding door&amp;window SR_SF" xfId="801"/>
    <cellStyle name="_RM FG INV 2006" xfId="802"/>
    <cellStyle name="_RM FG INV 2006_BAO GIA-moi" xfId="803"/>
    <cellStyle name="_RM FG INV 2006_BAO GIA-moi 2" xfId="804"/>
    <cellStyle name="_RM FG INV 2006_BAO GIA-moi 3" xfId="805"/>
    <cellStyle name="_RM FG INV 2006_BAO GIA-moi 4" xfId="806"/>
    <cellStyle name="_RM FG INV 2006_BAO GIA-moi 5" xfId="807"/>
    <cellStyle name="_RM FG INV 2006_BAO GIA-moi_Dat kinh so   -17082012-Nha A Trung TGD" xfId="808"/>
    <cellStyle name="_RM FG INV 2006_BAO GIA-moi_KINH NHA CO NGA 18-09-12" xfId="809"/>
    <cellStyle name="_RM FG INV 2006_BAO GIA-moi_thong ke kinh PHONG mau-sxl1" xfId="810"/>
    <cellStyle name="_RM FG INV 2006_BAO GIA-moi_thong ke kinh Tang mau-sxl1" xfId="811"/>
    <cellStyle name="_RM FG INV 2006_CSMH 1C" xfId="812"/>
    <cellStyle name="_RM FG INV 2006_Sliding door&amp;window SR_SF" xfId="813"/>
    <cellStyle name="_RM FG INV 2006_Sliding door&amp;window SR_SF 2" xfId="814"/>
    <cellStyle name="_RM FG INV 2006_Sliding door&amp;window SR_SF 3" xfId="815"/>
    <cellStyle name="_RM FG INV 2006_Sliding door&amp;window SR_SF 4" xfId="816"/>
    <cellStyle name="_RM FG INV 2006_Sliding door&amp;window SR_SF 5" xfId="817"/>
    <cellStyle name="_RM FG INV 2006_Sliding door&amp;window SR_SF_Dat kinh so   -17082012-Nha A Trung TGD" xfId="818"/>
    <cellStyle name="_RM FG INV 2006_Sliding door&amp;window SR_SF_KINH NHA CO NGA 18-09-12" xfId="819"/>
    <cellStyle name="_RM FG INV 2006_Sliding door&amp;window SR_SF_thong ke kinh PHONG mau-sxl1" xfId="820"/>
    <cellStyle name="_RM FG INV 2006_Sliding door&amp;window SR_SF_thong ke kinh Tang mau-sxl1" xfId="821"/>
    <cellStyle name="_Royal Cargo - Section O - NTHH" xfId="822"/>
    <cellStyle name="_Sales &amp; COGs - 2005" xfId="823"/>
    <cellStyle name="_san luong" xfId="824"/>
    <cellStyle name="_san luong 2" xfId="825"/>
    <cellStyle name="_san luong 3" xfId="826"/>
    <cellStyle name="_san luong 4" xfId="827"/>
    <cellStyle name="_san luong 5" xfId="828"/>
    <cellStyle name="_Sheet1_Chi_phi_627_theo_thang_08 " xfId="829"/>
    <cellStyle name="_Sheet4" xfId="830"/>
    <cellStyle name="_Stock" xfId="831"/>
    <cellStyle name="_Stock_BAO GIA-moi" xfId="832"/>
    <cellStyle name="_Stock_BAO GIA-moi 2" xfId="833"/>
    <cellStyle name="_Stock_BAO GIA-moi 3" xfId="834"/>
    <cellStyle name="_Stock_BAO GIA-moi 4" xfId="835"/>
    <cellStyle name="_Stock_BAO GIA-moi 5" xfId="836"/>
    <cellStyle name="_Stock_BAO GIA-moi_Dat kinh so   -17082012-Nha A Trung TGD" xfId="837"/>
    <cellStyle name="_Stock_BAO GIA-moi_KINH NHA CO NGA 18-09-12" xfId="838"/>
    <cellStyle name="_Stock_BAO GIA-moi_thong ke kinh PHONG mau-sxl1" xfId="839"/>
    <cellStyle name="_Stock_BAO GIA-moi_thong ke kinh Tang mau-sxl1" xfId="840"/>
    <cellStyle name="_Stock_CSMH 1C" xfId="841"/>
    <cellStyle name="_Stock_Sliding door&amp;window SR_SF" xfId="842"/>
    <cellStyle name="_Stock_Sliding door&amp;window SR_SF 2" xfId="843"/>
    <cellStyle name="_Stock_Sliding door&amp;window SR_SF 3" xfId="844"/>
    <cellStyle name="_Stock_Sliding door&amp;window SR_SF 4" xfId="845"/>
    <cellStyle name="_Stock_Sliding door&amp;window SR_SF 5" xfId="846"/>
    <cellStyle name="_Stock_Sliding door&amp;window SR_SF_Dat kinh so   -17082012-Nha A Trung TGD" xfId="847"/>
    <cellStyle name="_Stock_Sliding door&amp;window SR_SF_KINH NHA CO NGA 18-09-12" xfId="848"/>
    <cellStyle name="_Stock_Sliding door&amp;window SR_SF_thong ke kinh PHONG mau-sxl1" xfId="849"/>
    <cellStyle name="_Stock_Sliding door&amp;window SR_SF_thong ke kinh Tang mau-sxl1" xfId="850"/>
    <cellStyle name="_Stocks-HNKV 31.12.06" xfId="851"/>
    <cellStyle name="_Stocks-HNKV 31.12.06_BAO GIA-moi" xfId="852"/>
    <cellStyle name="_Stocks-HNKV 31.12.06_BAO GIA-moi 2" xfId="853"/>
    <cellStyle name="_Stocks-HNKV 31.12.06_BAO GIA-moi 3" xfId="854"/>
    <cellStyle name="_Stocks-HNKV 31.12.06_BAO GIA-moi 4" xfId="855"/>
    <cellStyle name="_Stocks-HNKV 31.12.06_BAO GIA-moi 5" xfId="856"/>
    <cellStyle name="_Stocks-HNKV 31.12.06_BAO GIA-moi_Dat kinh so   -17082012-Nha A Trung TGD" xfId="857"/>
    <cellStyle name="_Stocks-HNKV 31.12.06_BAO GIA-moi_KINH NHA CO NGA 18-09-12" xfId="858"/>
    <cellStyle name="_Stocks-HNKV 31.12.06_BAO GIA-moi_thong ke kinh PHONG mau-sxl1" xfId="859"/>
    <cellStyle name="_Stocks-HNKV 31.12.06_BAO GIA-moi_thong ke kinh Tang mau-sxl1" xfId="860"/>
    <cellStyle name="_Stocks-HNKV 31.12.06_CSMH 1C" xfId="861"/>
    <cellStyle name="_Stocks-HNKV 31.12.06_Sliding door&amp;window SR_SF" xfId="862"/>
    <cellStyle name="_Stocks-HNKV 31.12.06_Sliding door&amp;window SR_SF 2" xfId="863"/>
    <cellStyle name="_Stocks-HNKV 31.12.06_Sliding door&amp;window SR_SF 3" xfId="864"/>
    <cellStyle name="_Stocks-HNKV 31.12.06_Sliding door&amp;window SR_SF 4" xfId="865"/>
    <cellStyle name="_Stocks-HNKV 31.12.06_Sliding door&amp;window SR_SF 5" xfId="866"/>
    <cellStyle name="_Stocks-HNKV 31.12.06_Sliding door&amp;window SR_SF_Dat kinh so   -17082012-Nha A Trung TGD" xfId="867"/>
    <cellStyle name="_Stocks-HNKV 31.12.06_Sliding door&amp;window SR_SF_KINH NHA CO NGA 18-09-12" xfId="868"/>
    <cellStyle name="_Stocks-HNKV 31.12.06_Sliding door&amp;window SR_SF_thong ke kinh PHONG mau-sxl1" xfId="869"/>
    <cellStyle name="_Stocks-HNKV 31.12.06_Sliding door&amp;window SR_SF_thong ke kinh Tang mau-sxl1" xfId="870"/>
    <cellStyle name="_TG-TH" xfId="871"/>
    <cellStyle name="_TG-TH_1" xfId="872"/>
    <cellStyle name="_TG-TH_1_BAO CAO KLCT PT2000" xfId="873"/>
    <cellStyle name="_TG-TH_1_BAO CAO PT2000" xfId="874"/>
    <cellStyle name="_TG-TH_1_BAO CAO PT2000_Book1" xfId="875"/>
    <cellStyle name="_TG-TH_1_Bao cao XDCB 2001 - T11 KH dieu chinh 20-11-THAI" xfId="876"/>
    <cellStyle name="_TG-TH_1_Book1" xfId="877"/>
    <cellStyle name="_TG-TH_1_Book1_1" xfId="878"/>
    <cellStyle name="_TG-TH_1_Book1_2" xfId="879"/>
    <cellStyle name="_TG-TH_1_Book1_3" xfId="880"/>
    <cellStyle name="_TG-TH_1_Book1_4" xfId="881"/>
    <cellStyle name="_TG-TH_1_Book1_BC-QT-WB-dthao" xfId="882"/>
    <cellStyle name="_TG-TH_1_Chi_phi_627_theo_thang_08 " xfId="883"/>
    <cellStyle name="_TG-TH_1_DTCDT MR.2N110.HOCMON.TDTOAN.CCUNG" xfId="884"/>
    <cellStyle name="_TG-TH_1_ITA 100 - TAS - H section - Investment - 31.12.07" xfId="885"/>
    <cellStyle name="_TG-TH_1_ITA 100 - TAS - S section - Sales-31.12.07" xfId="886"/>
    <cellStyle name="_TG-TH_1_Lora-tungchau" xfId="887"/>
    <cellStyle name="_TG-TH_1_PGIA-phieu tham tra Kho bac" xfId="888"/>
    <cellStyle name="_TG-TH_1_PT02-02" xfId="889"/>
    <cellStyle name="_TG-TH_1_PT02-02_Book1" xfId="890"/>
    <cellStyle name="_TG-TH_1_PT02-03" xfId="891"/>
    <cellStyle name="_TG-TH_1_PT02-03_Book1" xfId="892"/>
    <cellStyle name="_TG-TH_1_Qt-HT3PQ1(CauKho)" xfId="893"/>
    <cellStyle name="_TG-TH_2" xfId="894"/>
    <cellStyle name="_TG-TH_2_BAO CAO KLCT PT2000" xfId="895"/>
    <cellStyle name="_TG-TH_2_BAO CAO PT2000" xfId="896"/>
    <cellStyle name="_TG-TH_2_BAO CAO PT2000_Book1" xfId="897"/>
    <cellStyle name="_TG-TH_2_Bao cao XDCB 2001 - T11 KH dieu chinh 20-11-THAI" xfId="898"/>
    <cellStyle name="_TG-TH_2_Book1" xfId="899"/>
    <cellStyle name="_TG-TH_2_Book1_1" xfId="900"/>
    <cellStyle name="_TG-TH_2_Book1_2" xfId="901"/>
    <cellStyle name="_TG-TH_2_Book1_3" xfId="902"/>
    <cellStyle name="_TG-TH_2_Book1_4" xfId="903"/>
    <cellStyle name="_TG-TH_2_Chi_phi_627_theo_thang_08 " xfId="904"/>
    <cellStyle name="_TG-TH_2_DTCDT MR.2N110.HOCMON.TDTOAN.CCUNG" xfId="905"/>
    <cellStyle name="_TG-TH_2_ITA 100 - TAS - H section - Investment - 31.12.07" xfId="906"/>
    <cellStyle name="_TG-TH_2_ITA 100 - TAS - S section - Sales-31.12.07" xfId="907"/>
    <cellStyle name="_TG-TH_2_Lora-tungchau" xfId="908"/>
    <cellStyle name="_TG-TH_2_PGIA-phieu tham tra Kho bac" xfId="909"/>
    <cellStyle name="_TG-TH_2_PT02-02" xfId="910"/>
    <cellStyle name="_TG-TH_2_PT02-02_Book1" xfId="911"/>
    <cellStyle name="_TG-TH_2_PT02-03" xfId="912"/>
    <cellStyle name="_TG-TH_2_PT02-03_Book1" xfId="913"/>
    <cellStyle name="_TG-TH_2_Qt-HT3PQ1(CauKho)" xfId="914"/>
    <cellStyle name="_TG-TH_3" xfId="915"/>
    <cellStyle name="_TG-TH_3_bao cao ton chi tiet tuan 23-06" xfId="916"/>
    <cellStyle name="_TG-TH_3_Chi_phi_627_theo_thang_08 " xfId="917"/>
    <cellStyle name="_TG-TH_3_Chi_phi_627_theo_thang_08  2" xfId="918"/>
    <cellStyle name="_TG-TH_3_Chi_phi_627_theo_thang_08  3" xfId="919"/>
    <cellStyle name="_TG-TH_3_Chi_phi_627_theo_thang_08  4" xfId="920"/>
    <cellStyle name="_TG-TH_3_Chi_phi_627_theo_thang_08  5" xfId="921"/>
    <cellStyle name="_TG-TH_3_ITA 100 - TAS - H section - Investment - 31.12.07" xfId="922"/>
    <cellStyle name="_TG-TH_3_ITA 100 - TAS - H section - Investment - 31.12.07 2" xfId="923"/>
    <cellStyle name="_TG-TH_3_ITA 100 - TAS - H section - Investment - 31.12.07 3" xfId="924"/>
    <cellStyle name="_TG-TH_3_ITA 100 - TAS - H section - Investment - 31.12.07 4" xfId="925"/>
    <cellStyle name="_TG-TH_3_ITA 100 - TAS - H section - Investment - 31.12.07 5" xfId="926"/>
    <cellStyle name="_TG-TH_3_ITA 100 - TAS - S section - Sales-31.12.07" xfId="927"/>
    <cellStyle name="_TG-TH_3_ITA 100 - TAS - S section - Sales-31.12.07 2" xfId="928"/>
    <cellStyle name="_TG-TH_3_ITA 100 - TAS - S section - Sales-31.12.07 3" xfId="929"/>
    <cellStyle name="_TG-TH_3_ITA 100 - TAS - S section - Sales-31.12.07 4" xfId="930"/>
    <cellStyle name="_TG-TH_3_ITA 100 - TAS - S section - Sales-31.12.07 5" xfId="931"/>
    <cellStyle name="_TG-TH_3_Lora-tungchau" xfId="932"/>
    <cellStyle name="_TG-TH_3_Qt-HT3PQ1(CauKho)" xfId="933"/>
    <cellStyle name="_TG-TH_4" xfId="934"/>
    <cellStyle name="_TL Hai Phong - WTB 311206" xfId="935"/>
    <cellStyle name="_tong kho 31.12.06" xfId="936"/>
    <cellStyle name="_WIP_1205" xfId="937"/>
    <cellStyle name="_WP - Thuy Duong -v2" xfId="938"/>
    <cellStyle name="_WP - Thuy Duong -v2_BAO GIA-moi" xfId="939"/>
    <cellStyle name="_WP - Thuy Duong -v2_BAO GIA-moi 2" xfId="940"/>
    <cellStyle name="_WP - Thuy Duong -v2_BAO GIA-moi 3" xfId="941"/>
    <cellStyle name="_WP - Thuy Duong -v2_BAO GIA-moi 4" xfId="942"/>
    <cellStyle name="_WP - Thuy Duong -v2_BAO GIA-moi 5" xfId="943"/>
    <cellStyle name="_WP - Thuy Duong -v2_BAO GIA-moi_Dat kinh so   -17082012-Nha A Trung TGD" xfId="944"/>
    <cellStyle name="_WP - Thuy Duong -v2_BAO GIA-moi_KINH NHA CO NGA 18-09-12" xfId="945"/>
    <cellStyle name="_WP - Thuy Duong -v2_BAO GIA-moi_thong ke kinh PHONG mau-sxl1" xfId="946"/>
    <cellStyle name="_WP - Thuy Duong -v2_BAO GIA-moi_thong ke kinh Tang mau-sxl1" xfId="947"/>
    <cellStyle name="_WP - Thuy Duong -v2_CSMH 1C" xfId="948"/>
    <cellStyle name="_WP - Thuy Duong -v2_Sliding door&amp;window SR_SF" xfId="949"/>
    <cellStyle name="_WP - Thuy Duong -v2_Sliding door&amp;window SR_SF 2" xfId="950"/>
    <cellStyle name="_WP - Thuy Duong -v2_Sliding door&amp;window SR_SF 3" xfId="951"/>
    <cellStyle name="_WP - Thuy Duong -v2_Sliding door&amp;window SR_SF 4" xfId="952"/>
    <cellStyle name="_WP - Thuy Duong -v2_Sliding door&amp;window SR_SF 5" xfId="953"/>
    <cellStyle name="_WP - Thuy Duong -v2_Sliding door&amp;window SR_SF_Dat kinh so   -17082012-Nha A Trung TGD" xfId="954"/>
    <cellStyle name="_WP - Thuy Duong -v2_Sliding door&amp;window SR_SF_KINH NHA CO NGA 18-09-12" xfId="955"/>
    <cellStyle name="_WP - Thuy Duong -v2_Sliding door&amp;window SR_SF_thong ke kinh PHONG mau-sxl1" xfId="956"/>
    <cellStyle name="_WP - Thuy Duong -v2_Sliding door&amp;window SR_SF_thong ke kinh Tang mau-sxl1" xfId="957"/>
    <cellStyle name="_Write off" xfId="958"/>
    <cellStyle name="_Write off_BAO GIA-moi" xfId="959"/>
    <cellStyle name="_Write off_BAO GIA-moi 2" xfId="960"/>
    <cellStyle name="_Write off_BAO GIA-moi 3" xfId="961"/>
    <cellStyle name="_Write off_BAO GIA-moi 4" xfId="962"/>
    <cellStyle name="_Write off_BAO GIA-moi 5" xfId="963"/>
    <cellStyle name="_Write off_BAO GIA-moi_Dat kinh so   -17082012-Nha A Trung TGD" xfId="964"/>
    <cellStyle name="_Write off_BAO GIA-moi_KINH NHA CO NGA 18-09-12" xfId="965"/>
    <cellStyle name="_Write off_BAO GIA-moi_thong ke kinh PHONG mau-sxl1" xfId="966"/>
    <cellStyle name="_Write off_BAO GIA-moi_thong ke kinh Tang mau-sxl1" xfId="967"/>
    <cellStyle name="_Write off_CSMH 1C" xfId="968"/>
    <cellStyle name="_Write off_Sliding door&amp;window SR_SF" xfId="969"/>
    <cellStyle name="_Write off_Sliding door&amp;window SR_SF 2" xfId="970"/>
    <cellStyle name="_Write off_Sliding door&amp;window SR_SF 3" xfId="971"/>
    <cellStyle name="_Write off_Sliding door&amp;window SR_SF 4" xfId="972"/>
    <cellStyle name="_Write off_Sliding door&amp;window SR_SF 5" xfId="973"/>
    <cellStyle name="_Write off_Sliding door&amp;window SR_SF_Dat kinh so   -17082012-Nha A Trung TGD" xfId="974"/>
    <cellStyle name="_Write off_Sliding door&amp;window SR_SF_KINH NHA CO NGA 18-09-12" xfId="975"/>
    <cellStyle name="_Write off_Sliding door&amp;window SR_SF_thong ke kinh PHONG mau-sxl1" xfId="976"/>
    <cellStyle name="_Write off_Sliding door&amp;window SR_SF_thong ke kinh Tang mau-sxl1" xfId="977"/>
    <cellStyle name="_WTB revised 31.12.2002 with TCI adjs-dated 2507-V1" xfId="978"/>
    <cellStyle name="_Xnt_0105" xfId="979"/>
    <cellStyle name="_Xnt_1205" xfId="980"/>
    <cellStyle name="–¢’è‹`" xfId="981"/>
    <cellStyle name="•\Ž¦Ï‚Ý‚ÌƒnƒCƒp[ƒŠƒ“ƒN" xfId="982"/>
    <cellStyle name="•W€_STDFOR" xfId="983"/>
    <cellStyle name="W_RENKETU1" xfId="984"/>
    <cellStyle name="0%" xfId="985"/>
    <cellStyle name="0.0%" xfId="986"/>
    <cellStyle name="0.00%" xfId="987"/>
    <cellStyle name="1" xfId="988"/>
    <cellStyle name="15" xfId="989"/>
    <cellStyle name="18" xfId="990"/>
    <cellStyle name="¹éºÐÀ²_      " xfId="991"/>
    <cellStyle name="2" xfId="992"/>
    <cellStyle name="20% - ส่วนที่ถูกเน้น1" xfId="993"/>
    <cellStyle name="20% - ส่วนที่ถูกเน้น2" xfId="994"/>
    <cellStyle name="20% - ส่วนที่ถูกเน้น3" xfId="995"/>
    <cellStyle name="20% - ส่วนที่ถูกเน้น4" xfId="996"/>
    <cellStyle name="20% - ส่วนที่ถูกเน้น5" xfId="997"/>
    <cellStyle name="20% - ส่วนที่ถูกเน้น6" xfId="998"/>
    <cellStyle name="3" xfId="999"/>
    <cellStyle name="4" xfId="1000"/>
    <cellStyle name="40% - ส่วนที่ถูกเน้น1" xfId="1001"/>
    <cellStyle name="40% - ส่วนที่ถูกเน้น2" xfId="1002"/>
    <cellStyle name="40% - ส่วนที่ถูกเน้น3" xfId="1003"/>
    <cellStyle name="40% - ส่วนที่ถูกเน้น4" xfId="1004"/>
    <cellStyle name="40% - ส่วนที่ถูกเน้น5" xfId="1005"/>
    <cellStyle name="40% - ส่วนที่ถูกเน้น6" xfId="1006"/>
    <cellStyle name="6" xfId="1007"/>
    <cellStyle name="6 2" xfId="1008"/>
    <cellStyle name="6 3" xfId="1009"/>
    <cellStyle name="6 4" xfId="1010"/>
    <cellStyle name="6 5" xfId="1011"/>
    <cellStyle name="6_Casement door" xfId="1012"/>
    <cellStyle name="6_Casement window" xfId="1013"/>
    <cellStyle name="6_CSMH 1C" xfId="1014"/>
    <cellStyle name="6_Dat kinh so   -17082012-Nha A Trung TGD" xfId="1015"/>
    <cellStyle name="6_KINH NHA CO NGA 18-09-12" xfId="1016"/>
    <cellStyle name="6_Sliding door&amp;window SR_SF" xfId="1017"/>
    <cellStyle name="6_Sliding door&amp;window SR_SF 2" xfId="1018"/>
    <cellStyle name="6_Sliding door&amp;window SR_SF 3" xfId="1019"/>
    <cellStyle name="6_Sliding door&amp;window SR_SF 4" xfId="1020"/>
    <cellStyle name="6_Sliding door&amp;window SR_SF 5" xfId="1021"/>
    <cellStyle name="6_Sliding door&amp;window SR_SF_Dat kinh so   -17082012-Nha A Trung TGD" xfId="1022"/>
    <cellStyle name="6_Sliding door&amp;window SR_SF_KINH NHA CO NGA 18-09-12" xfId="1023"/>
    <cellStyle name="6_Sliding door&amp;window SR_SF_thong ke kinh PHONG mau-sxl1" xfId="1024"/>
    <cellStyle name="6_Sliding door&amp;window SR_SF_thong ke kinh Tang mau-sxl1" xfId="1025"/>
    <cellStyle name="6_thong ke kinh PHONG mau-sxl1" xfId="1026"/>
    <cellStyle name="6_thong ke kinh Tang mau-sxl1" xfId="1027"/>
    <cellStyle name="60% - ส่วนที่ถูกเน้น1" xfId="1028"/>
    <cellStyle name="60% - ส่วนที่ถูกเน้น2" xfId="1029"/>
    <cellStyle name="60% - ส่วนที่ถูกเน้น3" xfId="1030"/>
    <cellStyle name="60% - ส่วนที่ถูกเน้น4" xfId="1031"/>
    <cellStyle name="60% - ส่วนที่ถูกเน้น5" xfId="1032"/>
    <cellStyle name="60% - ส่วนที่ถูกเน้น6" xfId="1033"/>
    <cellStyle name="80" xfId="1034"/>
    <cellStyle name="Account" xfId="1035"/>
    <cellStyle name="ÅëÈ­ [0]_      " xfId="1036"/>
    <cellStyle name="AeE­ [0]_INQUIRY ¿?¾÷AßAø " xfId="1037"/>
    <cellStyle name="ÅëÈ­ [0]_S" xfId="1038"/>
    <cellStyle name="ÅëÈ­_      " xfId="1039"/>
    <cellStyle name="AeE­_INQUIRY ¿?¾÷AßAø " xfId="1040"/>
    <cellStyle name="ÅëÈ­_L601CPT" xfId="1041"/>
    <cellStyle name="APPEAR" xfId="1042"/>
    <cellStyle name="arbres" xfId="1043"/>
    <cellStyle name="args.style" xfId="1044"/>
    <cellStyle name="ÄÞ¸¶ [0]_      " xfId="1045"/>
    <cellStyle name="AÞ¸¶ [0]_INQUIRY ¿?¾÷AßAø " xfId="1046"/>
    <cellStyle name="ÄÞ¸¶ [0]_L601CPT" xfId="1047"/>
    <cellStyle name="ÄÞ¸¶_      " xfId="1048"/>
    <cellStyle name="AÞ¸¶_INQUIRY ¿?¾÷AßAø " xfId="1049"/>
    <cellStyle name="ÄÞ¸¶_L601CPT" xfId="1050"/>
    <cellStyle name="AutoFormat Options" xfId="1051"/>
    <cellStyle name="BKWmas" xfId="1052"/>
    <cellStyle name="Body" xfId="1053"/>
    <cellStyle name="C?AØ_¿?¾÷CoE² " xfId="1054"/>
    <cellStyle name="Ç¥ÁØ_      " xfId="1055"/>
    <cellStyle name="C￥AØ_¿μ¾÷CoE² " xfId="1056"/>
    <cellStyle name="Ç¥ÁØ_±¸¹Ì´ëÃ¥" xfId="1057"/>
    <cellStyle name="Calc Currency (0)" xfId="1058"/>
    <cellStyle name="Calc Currency (0) 2" xfId="1059"/>
    <cellStyle name="Calc Currency (0) 3" xfId="1060"/>
    <cellStyle name="Calc Currency (0) 4" xfId="1061"/>
    <cellStyle name="Calc Currency (0) 5" xfId="1062"/>
    <cellStyle name="Calc Currency (2)" xfId="1063"/>
    <cellStyle name="Calc Percent (0)" xfId="1064"/>
    <cellStyle name="Calc Percent (1)" xfId="1065"/>
    <cellStyle name="Calc Percent (2)" xfId="1066"/>
    <cellStyle name="Calc Percent (2) 2" xfId="1067"/>
    <cellStyle name="Calc Percent (2) 3" xfId="1068"/>
    <cellStyle name="Calc Percent (2) 4" xfId="1069"/>
    <cellStyle name="Calc Percent (2) 5" xfId="1070"/>
    <cellStyle name="Calc Units (0)" xfId="1071"/>
    <cellStyle name="Calc Units (1)" xfId="1072"/>
    <cellStyle name="Calc Units (2)" xfId="1073"/>
    <cellStyle name="category" xfId="1074"/>
    <cellStyle name="Cerrency_Sheet2_XANGDAU" xfId="1075"/>
    <cellStyle name="CHUONG" xfId="1076"/>
    <cellStyle name="Col Heads" xfId="1077"/>
    <cellStyle name="Comma  - Style1" xfId="1078"/>
    <cellStyle name="Comma  - Style2" xfId="1079"/>
    <cellStyle name="Comma  - Style3" xfId="1080"/>
    <cellStyle name="Comma  - Style4" xfId="1081"/>
    <cellStyle name="Comma  - Style5" xfId="1082"/>
    <cellStyle name="Comma  - Style6" xfId="1083"/>
    <cellStyle name="Comma  - Style7" xfId="1084"/>
    <cellStyle name="Comma  - Style8" xfId="1085"/>
    <cellStyle name="Comma [ ,]" xfId="1086"/>
    <cellStyle name="Comma []" xfId="1087"/>
    <cellStyle name="Comma [] 2" xfId="1088"/>
    <cellStyle name="Comma [] 3" xfId="1089"/>
    <cellStyle name="Comma [] 4" xfId="1090"/>
    <cellStyle name="Comma [] 5" xfId="1091"/>
    <cellStyle name="Comma [00]" xfId="1092"/>
    <cellStyle name="Comma 2" xfId="1900"/>
    <cellStyle name="Comma 2 2" xfId="1093"/>
    <cellStyle name="Comma 2 3" xfId="1094"/>
    <cellStyle name="Comma 2 4" xfId="1095"/>
    <cellStyle name="Comma 2 5" xfId="1096"/>
    <cellStyle name="Comma 2 6" xfId="1097"/>
    <cellStyle name="Comma 3" xfId="1889"/>
    <cellStyle name="Comma 4" xfId="1905"/>
    <cellStyle name="Comma 5" xfId="1888"/>
    <cellStyle name="Comma 6" xfId="1908"/>
    <cellStyle name="Comma 7" xfId="1098"/>
    <cellStyle name="comma zerodec" xfId="1099"/>
    <cellStyle name="Comma,0" xfId="1100"/>
    <cellStyle name="Comma,1" xfId="1101"/>
    <cellStyle name="Comma,2" xfId="1102"/>
    <cellStyle name="Comma0" xfId="1103"/>
    <cellStyle name="computed cell" xfId="1104"/>
    <cellStyle name="Copied" xfId="1105"/>
    <cellStyle name="COST1" xfId="1106"/>
    <cellStyle name="Currency [00]" xfId="1107"/>
    <cellStyle name="Currency,0" xfId="1108"/>
    <cellStyle name="Currency,2" xfId="1109"/>
    <cellStyle name="Currency0" xfId="1110"/>
    <cellStyle name="Currency1" xfId="1111"/>
    <cellStyle name="Dan" xfId="1112"/>
    <cellStyle name="Date" xfId="1113"/>
    <cellStyle name="Date Short" xfId="1114"/>
    <cellStyle name="Date_Bao Cao Kiem Tra  trung bay Ke milk-yomilk CK 2" xfId="1115"/>
    <cellStyle name="DELTA" xfId="1116"/>
    <cellStyle name="Dezimal [0]_68574_Materialbedarfsliste" xfId="1117"/>
    <cellStyle name="Dezimal_68574_Materialbedarfsliste" xfId="1118"/>
    <cellStyle name="Dollar (zero dec)" xfId="1119"/>
    <cellStyle name="e" xfId="1120"/>
    <cellStyle name="E&amp;Y House" xfId="1121"/>
    <cellStyle name="EN CO.," xfId="1122"/>
    <cellStyle name="Enter Currency (0)" xfId="1123"/>
    <cellStyle name="Enter Currency (2)" xfId="1124"/>
    <cellStyle name="Enter Units (0)" xfId="1125"/>
    <cellStyle name="Enter Units (1)" xfId="1126"/>
    <cellStyle name="Enter Units (2)" xfId="1127"/>
    <cellStyle name="Entered" xfId="1128"/>
    <cellStyle name="Euro" xfId="1129"/>
    <cellStyle name="EYSheetHeader1" xfId="1130"/>
    <cellStyle name="f" xfId="1131"/>
    <cellStyle name="F2" xfId="1132"/>
    <cellStyle name="F3" xfId="1133"/>
    <cellStyle name="F4" xfId="1134"/>
    <cellStyle name="F5" xfId="1135"/>
    <cellStyle name="F6" xfId="1136"/>
    <cellStyle name="F7" xfId="1137"/>
    <cellStyle name="F8" xfId="1138"/>
    <cellStyle name="Fixed" xfId="1139"/>
    <cellStyle name="ƒnƒCƒp[ƒŠƒ“ƒN" xfId="1140"/>
    <cellStyle name="Grey" xfId="1141"/>
    <cellStyle name="ha" xfId="1142"/>
    <cellStyle name="Head 1" xfId="1143"/>
    <cellStyle name="HEADER" xfId="1144"/>
    <cellStyle name="Header1" xfId="1145"/>
    <cellStyle name="Header-1-1" xfId="1146"/>
    <cellStyle name="Header2" xfId="1147"/>
    <cellStyle name="Heading" xfId="1148"/>
    <cellStyle name="Heading1" xfId="1149"/>
    <cellStyle name="Heading2" xfId="1150"/>
    <cellStyle name="HEADINGS" xfId="1151"/>
    <cellStyle name="HEADINGSTOP" xfId="1152"/>
    <cellStyle name="headoption" xfId="1153"/>
    <cellStyle name="hidden" xfId="1154"/>
    <cellStyle name="HIDE" xfId="1155"/>
    <cellStyle name="HMRCalculated" xfId="1156"/>
    <cellStyle name="HMRInput" xfId="1157"/>
    <cellStyle name="Hoa-Scholl" xfId="1158"/>
    <cellStyle name="i·0" xfId="1159"/>
    <cellStyle name="Indent" xfId="1160"/>
    <cellStyle name="Input [yellow]" xfId="1161"/>
    <cellStyle name="Input Cells" xfId="1162"/>
    <cellStyle name="Latest Estimate" xfId="1163"/>
    <cellStyle name="Latest Estimate 2" xfId="1164"/>
    <cellStyle name="Latest Estimate 3" xfId="1165"/>
    <cellStyle name="Latest Estimate 4" xfId="1166"/>
    <cellStyle name="Latest Estimate 5" xfId="1167"/>
    <cellStyle name="Ledger 17 x 11 in" xfId="1168"/>
    <cellStyle name="lien" xfId="1169"/>
    <cellStyle name="Line" xfId="1170"/>
    <cellStyle name="Link Currency (0)" xfId="1171"/>
    <cellStyle name="Link Currency (2)" xfId="1172"/>
    <cellStyle name="Link Units (0)" xfId="1173"/>
    <cellStyle name="Link Units (1)" xfId="1174"/>
    <cellStyle name="Link Units (2)" xfId="1175"/>
    <cellStyle name="Linked Cells" xfId="1176"/>
    <cellStyle name="MARK" xfId="1177"/>
    <cellStyle name="Millares [0]_Well Timing" xfId="1178"/>
    <cellStyle name="Millares_Well Timing" xfId="1179"/>
    <cellStyle name="Milliers [0]_      " xfId="1180"/>
    <cellStyle name="Milliers_      " xfId="1181"/>
    <cellStyle name="Model" xfId="1182"/>
    <cellStyle name="moi" xfId="1183"/>
    <cellStyle name="Mon?aire [0]_      " xfId="1184"/>
    <cellStyle name="Mon?aire_      " xfId="1185"/>
    <cellStyle name="Moneda [0]_Well Timing" xfId="1186"/>
    <cellStyle name="Moneda_Well Timing" xfId="1187"/>
    <cellStyle name="Monétaire [0]_      " xfId="1188"/>
    <cellStyle name="Monétaire_      " xfId="1189"/>
    <cellStyle name="n" xfId="1190"/>
    <cellStyle name="New Times Roman" xfId="1191"/>
    <cellStyle name="no dec" xfId="1192"/>
    <cellStyle name="NoFill" xfId="1193"/>
    <cellStyle name="ÑONVÒ" xfId="1194"/>
    <cellStyle name="Normal" xfId="0" builtinId="0"/>
    <cellStyle name="Normal - Style1" xfId="1195"/>
    <cellStyle name="Normal - 유형1" xfId="1196"/>
    <cellStyle name="Normal 10" xfId="1904"/>
    <cellStyle name="Normal 11" xfId="1910"/>
    <cellStyle name="Normal 12" xfId="1911"/>
    <cellStyle name="Normal 13" xfId="1912"/>
    <cellStyle name="Normal 14" xfId="1913"/>
    <cellStyle name="Normal 2" xfId="1197"/>
    <cellStyle name="Normal 2 2" xfId="1198"/>
    <cellStyle name="Normal 2 2 2" xfId="1893"/>
    <cellStyle name="Normal 2 3" xfId="1199"/>
    <cellStyle name="Normal 2 4" xfId="1200"/>
    <cellStyle name="Normal 2 5" xfId="1201"/>
    <cellStyle name="Normal 2 6" xfId="1202"/>
    <cellStyle name="Normal 3" xfId="1894"/>
    <cellStyle name="Normal 3 2" xfId="1890"/>
    <cellStyle name="Normal 3 3" xfId="1906"/>
    <cellStyle name="Normal 4" xfId="1895"/>
    <cellStyle name="Normal 4 2 2" xfId="1891"/>
    <cellStyle name="Normal 5" xfId="1203"/>
    <cellStyle name="Normal 5 2" xfId="1204"/>
    <cellStyle name="Normal 5 3" xfId="1887"/>
    <cellStyle name="Normal 6" xfId="1899"/>
    <cellStyle name="Normal 7" xfId="1901"/>
    <cellStyle name="Normal 8" xfId="1902"/>
    <cellStyle name="Normal 9" xfId="1903"/>
    <cellStyle name="Normal_Sheet1_1" xfId="1914"/>
    <cellStyle name="Normal1" xfId="1205"/>
    <cellStyle name="Normale_BP" xfId="1206"/>
    <cellStyle name="normální_A" xfId="1207"/>
    <cellStyle name="Œ…‹æ_Ø‚è [0.00]_ÆÂ__" xfId="1208"/>
    <cellStyle name="Œ…‹æØ‚è [0.00]_Cancel list" xfId="1209"/>
    <cellStyle name="Œ…‹æØ‚è_Cancel list" xfId="1210"/>
    <cellStyle name="oft Excel]_x000d__x000a_Comment=open=/f ‚ðw’è‚·‚é‚ÆAƒ†[ƒU[’è‹`ŠÖ”‚ðŠÖ”“\‚è•t‚¯‚Ìˆê——‚É“o˜^‚·‚é‚±‚Æ‚ª‚Å‚«‚Ü‚·B_x000d__x000a_Maximized" xfId="1211"/>
    <cellStyle name="oft Excel]_x000d__x000a_Comment=open=/f ‚ðŽw’è‚·‚é‚ÆAƒ†[ƒU[’è‹`ŠÖ”‚ðŠÖ”“\‚è•t‚¯‚Ìˆê——‚É“o˜^‚·‚é‚±‚Æ‚ª‚Å‚«‚Ü‚·B_x000d__x000a_Maximized" xfId="1212"/>
    <cellStyle name="oft Excel]_x000d__x000a_Comment=The open=/f lines load custom functions into the Paste Function list._x000d__x000a_Maximized=2_x000d__x000a_Basics=1_x000d__x000a_A" xfId="1213"/>
    <cellStyle name="oft Excel]_x000d__x000a_Comment=The open=/f lines load custom functions into the Paste Function list._x000d__x000a_Maximized=3_x000d__x000a_Basics=1_x000d__x000a_A" xfId="1214"/>
    <cellStyle name="omma [0]_Mktg Prog" xfId="1215"/>
    <cellStyle name="ormal_Sheet1_1?_x0001__x0015_Normal_Sheet1_Amer Q4?_x0001__x0012_Normal_Sheet1_FY96?_x0018_Normal_Sheet1_HC " xfId="1216"/>
    <cellStyle name="Package_numbers" xfId="1217"/>
    <cellStyle name="paint" xfId="1218"/>
    <cellStyle name="Pattern" xfId="1219"/>
    <cellStyle name="per.style" xfId="1220"/>
    <cellStyle name="Percent [0]" xfId="1221"/>
    <cellStyle name="Percent [0] 2" xfId="1222"/>
    <cellStyle name="Percent [0] 3" xfId="1223"/>
    <cellStyle name="Percent [0] 4" xfId="1224"/>
    <cellStyle name="Percent [0] 5" xfId="1225"/>
    <cellStyle name="Percent [00]" xfId="1226"/>
    <cellStyle name="Percent [00] 2" xfId="1227"/>
    <cellStyle name="Percent [00] 3" xfId="1228"/>
    <cellStyle name="Percent [00] 4" xfId="1229"/>
    <cellStyle name="Percent [00] 5" xfId="1230"/>
    <cellStyle name="Percent [2]" xfId="1231"/>
    <cellStyle name="Percent [2] 2" xfId="1232"/>
    <cellStyle name="Percent [2] 3" xfId="1233"/>
    <cellStyle name="Percent [2] 4" xfId="1234"/>
    <cellStyle name="Percent [2] 5" xfId="1235"/>
    <cellStyle name="Percent 2" xfId="1236"/>
    <cellStyle name="Percent 3" xfId="1898"/>
    <cellStyle name="PERCENTAGE" xfId="1237"/>
    <cellStyle name="PrePop Currency (0)" xfId="1238"/>
    <cellStyle name="PrePop Currency (2)" xfId="1239"/>
    <cellStyle name="PrePop Units (0)" xfId="1240"/>
    <cellStyle name="PrePop Units (1)" xfId="1241"/>
    <cellStyle name="PrePop Units (2)" xfId="1242"/>
    <cellStyle name="pricing" xfId="1243"/>
    <cellStyle name="Print_header" xfId="1244"/>
    <cellStyle name="PSChar" xfId="1245"/>
    <cellStyle name="PSHeading" xfId="1246"/>
    <cellStyle name="regstoresfromspecstores" xfId="1247"/>
    <cellStyle name="RevList" xfId="1248"/>
    <cellStyle name="RevList 2" xfId="1249"/>
    <cellStyle name="RevList 3" xfId="1250"/>
    <cellStyle name="RevList 4" xfId="1251"/>
    <cellStyle name="RevList 5" xfId="1252"/>
    <cellStyle name="S—_x0008_" xfId="1253"/>
    <cellStyle name="s]_x000d__x000a_spooler=yes_x000d__x000a_load=_x000d__x000a_Beep=yes_x000d__x000a_NullPort=None_x000d__x000a_BorderWidth=3_x000d__x000a_CursorBlinkRate=1200_x000d__x000a_DoubleClickSpeed=452_x000d__x000a_Programs=co" xfId="1254"/>
    <cellStyle name="SAPBEXchaText" xfId="1255"/>
    <cellStyle name="SAPBEXstdData" xfId="1256"/>
    <cellStyle name="SAPBEXstdItem" xfId="1257"/>
    <cellStyle name="SHADEDSTORES" xfId="1258"/>
    <cellStyle name="Spaltenebene_1_主营业务利润明细表" xfId="1259"/>
    <cellStyle name="specstores" xfId="1260"/>
    <cellStyle name="Standard_9. Fixed assets-Additions list" xfId="1261"/>
    <cellStyle name="Style 1" xfId="1262"/>
    <cellStyle name="Style 1 2" xfId="1263"/>
    <cellStyle name="Style 1 3" xfId="1264"/>
    <cellStyle name="Style 1 4" xfId="1265"/>
    <cellStyle name="Style 1 5" xfId="1266"/>
    <cellStyle name="Style 10" xfId="1267"/>
    <cellStyle name="Style 100" xfId="1268"/>
    <cellStyle name="Style 101" xfId="1269"/>
    <cellStyle name="Style 102" xfId="1270"/>
    <cellStyle name="Style 103" xfId="1271"/>
    <cellStyle name="Style 104" xfId="1272"/>
    <cellStyle name="Style 105" xfId="1273"/>
    <cellStyle name="Style 106" xfId="1274"/>
    <cellStyle name="Style 107" xfId="1275"/>
    <cellStyle name="Style 108" xfId="1276"/>
    <cellStyle name="Style 109" xfId="1277"/>
    <cellStyle name="Style 11" xfId="1278"/>
    <cellStyle name="Style 110" xfId="1279"/>
    <cellStyle name="Style 111" xfId="1280"/>
    <cellStyle name="Style 112" xfId="1281"/>
    <cellStyle name="Style 113" xfId="1282"/>
    <cellStyle name="Style 114" xfId="1283"/>
    <cellStyle name="Style 115" xfId="1284"/>
    <cellStyle name="Style 116" xfId="1285"/>
    <cellStyle name="Style 117" xfId="1286"/>
    <cellStyle name="Style 118" xfId="1287"/>
    <cellStyle name="Style 119" xfId="1288"/>
    <cellStyle name="Style 12" xfId="1289"/>
    <cellStyle name="Style 120" xfId="1290"/>
    <cellStyle name="Style 121" xfId="1291"/>
    <cellStyle name="Style 122" xfId="1292"/>
    <cellStyle name="Style 123" xfId="1293"/>
    <cellStyle name="Style 124" xfId="1294"/>
    <cellStyle name="Style 125" xfId="1295"/>
    <cellStyle name="Style 126" xfId="1296"/>
    <cellStyle name="Style 127" xfId="1297"/>
    <cellStyle name="Style 128" xfId="1298"/>
    <cellStyle name="Style 129" xfId="1299"/>
    <cellStyle name="Style 13" xfId="1300"/>
    <cellStyle name="Style 130" xfId="1301"/>
    <cellStyle name="Style 131" xfId="1302"/>
    <cellStyle name="Style 132" xfId="1303"/>
    <cellStyle name="Style 133" xfId="1304"/>
    <cellStyle name="Style 134" xfId="1305"/>
    <cellStyle name="Style 135" xfId="1306"/>
    <cellStyle name="Style 136" xfId="1307"/>
    <cellStyle name="Style 137" xfId="1308"/>
    <cellStyle name="Style 138" xfId="1309"/>
    <cellStyle name="Style 139" xfId="1310"/>
    <cellStyle name="Style 14" xfId="1311"/>
    <cellStyle name="Style 140" xfId="1312"/>
    <cellStyle name="Style 141" xfId="1313"/>
    <cellStyle name="Style 142" xfId="1314"/>
    <cellStyle name="Style 143" xfId="1315"/>
    <cellStyle name="Style 144" xfId="1316"/>
    <cellStyle name="Style 145" xfId="1317"/>
    <cellStyle name="Style 146" xfId="1318"/>
    <cellStyle name="Style 147" xfId="1319"/>
    <cellStyle name="Style 148" xfId="1320"/>
    <cellStyle name="Style 149" xfId="1321"/>
    <cellStyle name="Style 15" xfId="1322"/>
    <cellStyle name="Style 150" xfId="1323"/>
    <cellStyle name="Style 151" xfId="1324"/>
    <cellStyle name="Style 152" xfId="1325"/>
    <cellStyle name="Style 153" xfId="1326"/>
    <cellStyle name="Style 154" xfId="1327"/>
    <cellStyle name="Style 155" xfId="1328"/>
    <cellStyle name="Style 156" xfId="1329"/>
    <cellStyle name="Style 157" xfId="1330"/>
    <cellStyle name="Style 158" xfId="1331"/>
    <cellStyle name="Style 159" xfId="1332"/>
    <cellStyle name="Style 16" xfId="1333"/>
    <cellStyle name="Style 160" xfId="1334"/>
    <cellStyle name="Style 161" xfId="1335"/>
    <cellStyle name="Style 162" xfId="1336"/>
    <cellStyle name="Style 163" xfId="1337"/>
    <cellStyle name="Style 164" xfId="1338"/>
    <cellStyle name="Style 165" xfId="1339"/>
    <cellStyle name="Style 166" xfId="1340"/>
    <cellStyle name="Style 167" xfId="1341"/>
    <cellStyle name="Style 168" xfId="1342"/>
    <cellStyle name="Style 169" xfId="1343"/>
    <cellStyle name="Style 17" xfId="1344"/>
    <cellStyle name="Style 170" xfId="1345"/>
    <cellStyle name="Style 171" xfId="1346"/>
    <cellStyle name="Style 172" xfId="1347"/>
    <cellStyle name="Style 173" xfId="1348"/>
    <cellStyle name="Style 174" xfId="1349"/>
    <cellStyle name="Style 175" xfId="1350"/>
    <cellStyle name="Style 176" xfId="1351"/>
    <cellStyle name="Style 177" xfId="1352"/>
    <cellStyle name="Style 178" xfId="1353"/>
    <cellStyle name="Style 179" xfId="1354"/>
    <cellStyle name="Style 18" xfId="1355"/>
    <cellStyle name="Style 180" xfId="1356"/>
    <cellStyle name="Style 181" xfId="1357"/>
    <cellStyle name="Style 182" xfId="1358"/>
    <cellStyle name="Style 183" xfId="1359"/>
    <cellStyle name="Style 184" xfId="1360"/>
    <cellStyle name="Style 185" xfId="1361"/>
    <cellStyle name="Style 186" xfId="1362"/>
    <cellStyle name="Style 187" xfId="1363"/>
    <cellStyle name="Style 188" xfId="1364"/>
    <cellStyle name="Style 189" xfId="1365"/>
    <cellStyle name="Style 19" xfId="1366"/>
    <cellStyle name="Style 190" xfId="1367"/>
    <cellStyle name="Style 191" xfId="1368"/>
    <cellStyle name="Style 192" xfId="1369"/>
    <cellStyle name="Style 193" xfId="1370"/>
    <cellStyle name="Style 194" xfId="1371"/>
    <cellStyle name="Style 195" xfId="1372"/>
    <cellStyle name="Style 196" xfId="1373"/>
    <cellStyle name="Style 197" xfId="1374"/>
    <cellStyle name="Style 198" xfId="1375"/>
    <cellStyle name="Style 199" xfId="1376"/>
    <cellStyle name="Style 2" xfId="1377"/>
    <cellStyle name="Style 20" xfId="1378"/>
    <cellStyle name="Style 200" xfId="1379"/>
    <cellStyle name="Style 201" xfId="1380"/>
    <cellStyle name="Style 202" xfId="1381"/>
    <cellStyle name="Style 203" xfId="1382"/>
    <cellStyle name="Style 204" xfId="1383"/>
    <cellStyle name="Style 205" xfId="1384"/>
    <cellStyle name="Style 206" xfId="1385"/>
    <cellStyle name="Style 207" xfId="1386"/>
    <cellStyle name="Style 208" xfId="1387"/>
    <cellStyle name="Style 209" xfId="1388"/>
    <cellStyle name="Style 21" xfId="1389"/>
    <cellStyle name="Style 210" xfId="1390"/>
    <cellStyle name="Style 211" xfId="1391"/>
    <cellStyle name="Style 212" xfId="1392"/>
    <cellStyle name="Style 213" xfId="1393"/>
    <cellStyle name="Style 214" xfId="1394"/>
    <cellStyle name="Style 215" xfId="1395"/>
    <cellStyle name="Style 216" xfId="1396"/>
    <cellStyle name="Style 217" xfId="1397"/>
    <cellStyle name="Style 218" xfId="1398"/>
    <cellStyle name="Style 219" xfId="1399"/>
    <cellStyle name="Style 22" xfId="1400"/>
    <cellStyle name="Style 220" xfId="1401"/>
    <cellStyle name="Style 221" xfId="1402"/>
    <cellStyle name="Style 222" xfId="1403"/>
    <cellStyle name="Style 223" xfId="1404"/>
    <cellStyle name="Style 224" xfId="1405"/>
    <cellStyle name="Style 225" xfId="1406"/>
    <cellStyle name="Style 226" xfId="1407"/>
    <cellStyle name="Style 227" xfId="1408"/>
    <cellStyle name="Style 228" xfId="1409"/>
    <cellStyle name="Style 229" xfId="1410"/>
    <cellStyle name="Style 23" xfId="1411"/>
    <cellStyle name="Style 230" xfId="1412"/>
    <cellStyle name="Style 231" xfId="1413"/>
    <cellStyle name="Style 232" xfId="1414"/>
    <cellStyle name="Style 233" xfId="1415"/>
    <cellStyle name="Style 234" xfId="1416"/>
    <cellStyle name="Style 235" xfId="1417"/>
    <cellStyle name="Style 236" xfId="1418"/>
    <cellStyle name="Style 237" xfId="1419"/>
    <cellStyle name="Style 238" xfId="1420"/>
    <cellStyle name="Style 239" xfId="1421"/>
    <cellStyle name="Style 24" xfId="1422"/>
    <cellStyle name="Style 25" xfId="1423"/>
    <cellStyle name="Style 26" xfId="1424"/>
    <cellStyle name="Style 27" xfId="1425"/>
    <cellStyle name="Style 28" xfId="1426"/>
    <cellStyle name="Style 29" xfId="1427"/>
    <cellStyle name="Style 3" xfId="1428"/>
    <cellStyle name="Style 30" xfId="1429"/>
    <cellStyle name="Style 31" xfId="1430"/>
    <cellStyle name="Style 32" xfId="1431"/>
    <cellStyle name="Style 33" xfId="1432"/>
    <cellStyle name="Style 34" xfId="1433"/>
    <cellStyle name="Style 35" xfId="1434"/>
    <cellStyle name="Style 36" xfId="1435"/>
    <cellStyle name="Style 37" xfId="1436"/>
    <cellStyle name="Style 38" xfId="1437"/>
    <cellStyle name="Style 39" xfId="1438"/>
    <cellStyle name="Style 4" xfId="1439"/>
    <cellStyle name="Style 40" xfId="1440"/>
    <cellStyle name="Style 41" xfId="1441"/>
    <cellStyle name="Style 42" xfId="1442"/>
    <cellStyle name="Style 43" xfId="1443"/>
    <cellStyle name="Style 44" xfId="1444"/>
    <cellStyle name="Style 45" xfId="1445"/>
    <cellStyle name="Style 46" xfId="1446"/>
    <cellStyle name="Style 47" xfId="1447"/>
    <cellStyle name="Style 48" xfId="1448"/>
    <cellStyle name="Style 49" xfId="1449"/>
    <cellStyle name="Style 5" xfId="1450"/>
    <cellStyle name="Style 50" xfId="1451"/>
    <cellStyle name="Style 51" xfId="1452"/>
    <cellStyle name="Style 52" xfId="1453"/>
    <cellStyle name="Style 53" xfId="1454"/>
    <cellStyle name="Style 54" xfId="1455"/>
    <cellStyle name="Style 55" xfId="1456"/>
    <cellStyle name="Style 56" xfId="1457"/>
    <cellStyle name="Style 57" xfId="1458"/>
    <cellStyle name="Style 58" xfId="1459"/>
    <cellStyle name="Style 59" xfId="1460"/>
    <cellStyle name="Style 6" xfId="1461"/>
    <cellStyle name="Style 60" xfId="1462"/>
    <cellStyle name="Style 61" xfId="1463"/>
    <cellStyle name="Style 62" xfId="1464"/>
    <cellStyle name="Style 63" xfId="1465"/>
    <cellStyle name="Style 64" xfId="1466"/>
    <cellStyle name="Style 65" xfId="1467"/>
    <cellStyle name="Style 66" xfId="1468"/>
    <cellStyle name="Style 67" xfId="1469"/>
    <cellStyle name="Style 68" xfId="1470"/>
    <cellStyle name="Style 69" xfId="1471"/>
    <cellStyle name="Style 7" xfId="1472"/>
    <cellStyle name="Style 70" xfId="1473"/>
    <cellStyle name="Style 71" xfId="1474"/>
    <cellStyle name="Style 72" xfId="1475"/>
    <cellStyle name="Style 73" xfId="1476"/>
    <cellStyle name="Style 74" xfId="1477"/>
    <cellStyle name="Style 75" xfId="1478"/>
    <cellStyle name="Style 76" xfId="1479"/>
    <cellStyle name="Style 77" xfId="1480"/>
    <cellStyle name="Style 78" xfId="1481"/>
    <cellStyle name="Style 79" xfId="1482"/>
    <cellStyle name="Style 8" xfId="1483"/>
    <cellStyle name="Style 80" xfId="1484"/>
    <cellStyle name="Style 81" xfId="1485"/>
    <cellStyle name="Style 82" xfId="1486"/>
    <cellStyle name="Style 83" xfId="1487"/>
    <cellStyle name="Style 84" xfId="1488"/>
    <cellStyle name="Style 85" xfId="1489"/>
    <cellStyle name="Style 86" xfId="1490"/>
    <cellStyle name="Style 87" xfId="1491"/>
    <cellStyle name="Style 88" xfId="1492"/>
    <cellStyle name="Style 89" xfId="1493"/>
    <cellStyle name="Style 9" xfId="1494"/>
    <cellStyle name="Style 90" xfId="1495"/>
    <cellStyle name="Style 91" xfId="1496"/>
    <cellStyle name="Style 92" xfId="1497"/>
    <cellStyle name="Style 93" xfId="1498"/>
    <cellStyle name="Style 94" xfId="1499"/>
    <cellStyle name="Style 95" xfId="1500"/>
    <cellStyle name="Style 96" xfId="1501"/>
    <cellStyle name="Style 97" xfId="1502"/>
    <cellStyle name="Style 98" xfId="1503"/>
    <cellStyle name="Style 99" xfId="1504"/>
    <cellStyle name="style_1" xfId="1505"/>
    <cellStyle name="STYLE1" xfId="1506"/>
    <cellStyle name="STYLE2" xfId="1507"/>
    <cellStyle name="STYLE3" xfId="1508"/>
    <cellStyle name="STYLE4" xfId="1509"/>
    <cellStyle name="STYLE5" xfId="1510"/>
    <cellStyle name="STYLE6" xfId="1511"/>
    <cellStyle name="subhead" xfId="1512"/>
    <cellStyle name="SubHeading" xfId="1513"/>
    <cellStyle name="Subtotal" xfId="1514"/>
    <cellStyle name="symbol" xfId="1515"/>
    <cellStyle name="T" xfId="1516"/>
    <cellStyle name="T_Bao cao kttb milk yomilkYAO-mien bac" xfId="1517"/>
    <cellStyle name="T_Bao cao kttb milk yomilkYAO-mien bac_BAO GIA-moi" xfId="1518"/>
    <cellStyle name="T_Bao cao kttb milk yomilkYAO-mien bac_Casement door" xfId="1519"/>
    <cellStyle name="T_Bao cao kttb milk yomilkYAO-mien bac_Casement window" xfId="1520"/>
    <cellStyle name="T_Bao cao kttb milk yomilkYAO-mien bac_Sliding door&amp;window SR_SF" xfId="1521"/>
    <cellStyle name="T_BAO GIA-moi" xfId="1522"/>
    <cellStyle name="T_BAO GIA-moi 2" xfId="1523"/>
    <cellStyle name="T_BAO GIA-moi 3" xfId="1524"/>
    <cellStyle name="T_BAO GIA-moi 4" xfId="1525"/>
    <cellStyle name="T_BAO GIA-moi 5" xfId="1526"/>
    <cellStyle name="T_BAO GIA-moi_Dat kinh so   -17082012-Nha A Trung TGD" xfId="1527"/>
    <cellStyle name="T_BAO GIA-moi_KINH NHA CO NGA 18-09-12" xfId="1528"/>
    <cellStyle name="T_BAO GIA-moi_thong ke kinh PHONG mau-sxl1" xfId="1529"/>
    <cellStyle name="T_BAO GIA-moi_thong ke kinh Tang mau-sxl1" xfId="1530"/>
    <cellStyle name="T_bc_km_ngay" xfId="1531"/>
    <cellStyle name="T_bc_km_ngay_BAO GIA-moi" xfId="1532"/>
    <cellStyle name="T_bc_km_ngay_Casement door" xfId="1533"/>
    <cellStyle name="T_bc_km_ngay_Casement window" xfId="1534"/>
    <cellStyle name="T_bc_km_ngay_Sliding door&amp;window SR_SF" xfId="1535"/>
    <cellStyle name="T_Book1" xfId="1536"/>
    <cellStyle name="T_Book1_BAO GIA-moi" xfId="1537"/>
    <cellStyle name="T_Book1_Casement door" xfId="1538"/>
    <cellStyle name="T_Book1_Casement window" xfId="1539"/>
    <cellStyle name="T_Book1_Sliding door&amp;window SR_SF" xfId="1540"/>
    <cellStyle name="T_Cac bao cao TB  Milk-Yomilk-co Ke- CK 1-Vinh Thang" xfId="1541"/>
    <cellStyle name="T_Cac bao cao TB  Milk-Yomilk-co Ke- CK 1-Vinh Thang_BAO GIA-moi" xfId="1542"/>
    <cellStyle name="T_Cac bao cao TB  Milk-Yomilk-co Ke- CK 1-Vinh Thang_Casement door" xfId="1543"/>
    <cellStyle name="T_Cac bao cao TB  Milk-Yomilk-co Ke- CK 1-Vinh Thang_Casement window" xfId="1544"/>
    <cellStyle name="T_Cac bao cao TB  Milk-Yomilk-co Ke- CK 1-Vinh Thang_Sliding door&amp;window SR_SF" xfId="1545"/>
    <cellStyle name="T_cham diem Milk chu ky2-ANH MINH" xfId="1546"/>
    <cellStyle name="T_cham diem Milk chu ky2-ANH MINH_BAO GIA-moi" xfId="1547"/>
    <cellStyle name="T_cham diem Milk chu ky2-ANH MINH_Casement door" xfId="1548"/>
    <cellStyle name="T_cham diem Milk chu ky2-ANH MINH_Casement window" xfId="1549"/>
    <cellStyle name="T_cham diem Milk chu ky2-ANH MINH_Sliding door&amp;window SR_SF" xfId="1550"/>
    <cellStyle name="T_cham trung bay ck 1 m.Bac milk co ke 2" xfId="1551"/>
    <cellStyle name="T_cham trung bay ck 1 m.Bac milk co ke 2_BAO GIA-moi" xfId="1552"/>
    <cellStyle name="T_cham trung bay ck 1 m.Bac milk co ke 2_Casement door" xfId="1553"/>
    <cellStyle name="T_cham trung bay ck 1 m.Bac milk co ke 2_Casement window" xfId="1554"/>
    <cellStyle name="T_cham trung bay ck 1 m.Bac milk co ke 2_Sliding door&amp;window SR_SF" xfId="1555"/>
    <cellStyle name="T_cham trung bay yao smart milk ck 2 mien Bac" xfId="1556"/>
    <cellStyle name="T_cham trung bay yao smart milk ck 2 mien Bac_BAO GIA-moi" xfId="1557"/>
    <cellStyle name="T_cham trung bay yao smart milk ck 2 mien Bac_Casement door" xfId="1558"/>
    <cellStyle name="T_cham trung bay yao smart milk ck 2 mien Bac_Casement window" xfId="1559"/>
    <cellStyle name="T_cham trung bay yao smart milk ck 2 mien Bac_Sliding door&amp;window SR_SF" xfId="1560"/>
    <cellStyle name="T_Chi_phi_627_theo_thang_08 " xfId="1561"/>
    <cellStyle name="T_Chi_phi_627_theo_thang_08 _BAO GIA-moi" xfId="1562"/>
    <cellStyle name="T_Chi_phi_627_theo_thang_08 _Casement door" xfId="1563"/>
    <cellStyle name="T_Chi_phi_627_theo_thang_08 _Casement window" xfId="1564"/>
    <cellStyle name="T_Chi_phi_627_theo_thang_08 _Sliding door&amp;window SR_SF" xfId="1565"/>
    <cellStyle name="T_Cong bo thong tin tom tat Q42007 " xfId="1566"/>
    <cellStyle name="T_Cong bo thong tin tom tat Q42007 _BAO GIA-moi" xfId="1567"/>
    <cellStyle name="T_Cong bo thong tin tom tat Q42007 _BAO GIA-moi 2" xfId="1568"/>
    <cellStyle name="T_Cong bo thong tin tom tat Q42007 _BAO GIA-moi 3" xfId="1569"/>
    <cellStyle name="T_Cong bo thong tin tom tat Q42007 _BAO GIA-moi 4" xfId="1570"/>
    <cellStyle name="T_Cong bo thong tin tom tat Q42007 _BAO GIA-moi 5" xfId="1571"/>
    <cellStyle name="T_Cong bo thong tin tom tat Q42007 _BAO GIA-moi_Dat kinh so   -17082012-Nha A Trung TGD" xfId="1572"/>
    <cellStyle name="T_Cong bo thong tin tom tat Q42007 _BAO GIA-moi_KINH NHA CO NGA 18-09-12" xfId="1573"/>
    <cellStyle name="T_Cong bo thong tin tom tat Q42007 _BAO GIA-moi_thong ke kinh PHONG mau-sxl1" xfId="1574"/>
    <cellStyle name="T_Cong bo thong tin tom tat Q42007 _BAO GIA-moi_thong ke kinh Tang mau-sxl1" xfId="1575"/>
    <cellStyle name="T_Cong bo thong tin tom tat Q42007 _CSMH 1C" xfId="1576"/>
    <cellStyle name="T_Cong bo thong tin tom tat Q42007 _Sliding door&amp;window SR_SF" xfId="1577"/>
    <cellStyle name="T_Cong bo thong tin tom tat Q42007 _Sliding door&amp;window SR_SF 2" xfId="1578"/>
    <cellStyle name="T_Cong bo thong tin tom tat Q42007 _Sliding door&amp;window SR_SF 3" xfId="1579"/>
    <cellStyle name="T_Cong bo thong tin tom tat Q42007 _Sliding door&amp;window SR_SF 4" xfId="1580"/>
    <cellStyle name="T_Cong bo thong tin tom tat Q42007 _Sliding door&amp;window SR_SF 5" xfId="1581"/>
    <cellStyle name="T_Cong bo thong tin tom tat Q42007 _Sliding door&amp;window SR_SF_Dat kinh so   -17082012-Nha A Trung TGD" xfId="1582"/>
    <cellStyle name="T_Cong bo thong tin tom tat Q42007 _Sliding door&amp;window SR_SF_KINH NHA CO NGA 18-09-12" xfId="1583"/>
    <cellStyle name="T_Cong bo thong tin tom tat Q42007 _Sliding door&amp;window SR_SF_thong ke kinh PHONG mau-sxl1" xfId="1584"/>
    <cellStyle name="T_Cong bo thong tin tom tat Q42007 _Sliding door&amp;window SR_SF_thong ke kinh Tang mau-sxl1" xfId="1585"/>
    <cellStyle name="T_CSMH 1C" xfId="1586"/>
    <cellStyle name="T_danh sach chua nop bcao trung bay sua chua  tinh den 1-3-06" xfId="1587"/>
    <cellStyle name="T_danh sach chua nop bcao trung bay sua chua  tinh den 1-3-06_BAO GIA-moi" xfId="1588"/>
    <cellStyle name="T_danh sach chua nop bcao trung bay sua chua  tinh den 1-3-06_Casement door" xfId="1589"/>
    <cellStyle name="T_danh sach chua nop bcao trung bay sua chua  tinh den 1-3-06_Casement window" xfId="1590"/>
    <cellStyle name="T_danh sach chua nop bcao trung bay sua chua  tinh den 1-3-06_Sliding door&amp;window SR_SF" xfId="1591"/>
    <cellStyle name="T_Danh sach KH TB MilkYomilk Yao  Smart chu ky 2-Vinh Thang" xfId="1592"/>
    <cellStyle name="T_Danh sach KH TB MilkYomilk Yao  Smart chu ky 2-Vinh Thang_BAO GIA-moi" xfId="1593"/>
    <cellStyle name="T_Danh sach KH TB MilkYomilk Yao  Smart chu ky 2-Vinh Thang_Casement door" xfId="1594"/>
    <cellStyle name="T_Danh sach KH TB MilkYomilk Yao  Smart chu ky 2-Vinh Thang_Casement window" xfId="1595"/>
    <cellStyle name="T_Danh sach KH TB MilkYomilk Yao  Smart chu ky 2-Vinh Thang_Sliding door&amp;window SR_SF" xfId="1596"/>
    <cellStyle name="T_Danh sach KH trung bay MilkYomilk co ke chu ky 2-Vinh Thang" xfId="1597"/>
    <cellStyle name="T_Danh sach KH trung bay MilkYomilk co ke chu ky 2-Vinh Thang_BAO GIA-moi" xfId="1598"/>
    <cellStyle name="T_Danh sach KH trung bay MilkYomilk co ke chu ky 2-Vinh Thang_Casement door" xfId="1599"/>
    <cellStyle name="T_Danh sach KH trung bay MilkYomilk co ke chu ky 2-Vinh Thang_Casement window" xfId="1600"/>
    <cellStyle name="T_Danh sach KH trung bay MilkYomilk co ke chu ky 2-Vinh Thang_Sliding door&amp;window SR_SF" xfId="1601"/>
    <cellStyle name="T_DSACH MILK YO MILK CK 2 M.BAC" xfId="1602"/>
    <cellStyle name="T_DSACH MILK YO MILK CK 2 M.BAC_BAO GIA-moi" xfId="1603"/>
    <cellStyle name="T_DSACH MILK YO MILK CK 2 M.BAC_Casement door" xfId="1604"/>
    <cellStyle name="T_DSACH MILK YO MILK CK 2 M.BAC_Casement window" xfId="1605"/>
    <cellStyle name="T_DSACH MILK YO MILK CK 2 M.BAC_Sliding door&amp;window SR_SF" xfId="1606"/>
    <cellStyle name="T_DSKH Tbay Milk , Yomilk CK 2 Vu Thi Hanh" xfId="1607"/>
    <cellStyle name="T_DSKH Tbay Milk , Yomilk CK 2 Vu Thi Hanh_BAO GIA-moi" xfId="1608"/>
    <cellStyle name="T_DSKH Tbay Milk , Yomilk CK 2 Vu Thi Hanh_Casement door" xfId="1609"/>
    <cellStyle name="T_DSKH Tbay Milk , Yomilk CK 2 Vu Thi Hanh_Casement window" xfId="1610"/>
    <cellStyle name="T_DSKH Tbay Milk , Yomilk CK 2 Vu Thi Hanh_Sliding door&amp;window SR_SF" xfId="1611"/>
    <cellStyle name="T_form ton kho CK 2 tuan 8" xfId="1612"/>
    <cellStyle name="T_form ton kho CK 2 tuan 8_BAO GIA-moi" xfId="1613"/>
    <cellStyle name="T_form ton kho CK 2 tuan 8_Casement door" xfId="1614"/>
    <cellStyle name="T_form ton kho CK 2 tuan 8_Casement window" xfId="1615"/>
    <cellStyle name="T_form ton kho CK 2 tuan 8_Sliding door&amp;window SR_SF" xfId="1616"/>
    <cellStyle name="T_HAN SU DUNG" xfId="1617"/>
    <cellStyle name="T_HAN SU DUNG_BAO GIA-moi" xfId="1618"/>
    <cellStyle name="T_HAN SU DUNG_Casement door" xfId="1619"/>
    <cellStyle name="T_HAN SU DUNG_Casement window" xfId="1620"/>
    <cellStyle name="T_HAN SU DUNG_Sliding door&amp;window SR_SF" xfId="1621"/>
    <cellStyle name="T_Harada - WTB 31.12.06 v10" xfId="1622"/>
    <cellStyle name="T_Harada - WTB 31.12.06 v10_BAO GIA-moi" xfId="1623"/>
    <cellStyle name="T_Harada - WTB 31.12.06 v10_Casement door" xfId="1624"/>
    <cellStyle name="T_Harada - WTB 31.12.06 v10_Casement window" xfId="1625"/>
    <cellStyle name="T_Harada - WTB 31.12.06 v10_Sliding door&amp;window SR_SF" xfId="1626"/>
    <cellStyle name="T_KD - Stock WPs - NTHH" xfId="1627"/>
    <cellStyle name="T_KD - Stock WPs - NTHH_BAO GIA-moi" xfId="1628"/>
    <cellStyle name="T_KD - Stock WPs - NTHH_BAO GIA-moi 2" xfId="1629"/>
    <cellStyle name="T_KD - Stock WPs - NTHH_BAO GIA-moi 3" xfId="1630"/>
    <cellStyle name="T_KD - Stock WPs - NTHH_BAO GIA-moi 4" xfId="1631"/>
    <cellStyle name="T_KD - Stock WPs - NTHH_BAO GIA-moi 5" xfId="1632"/>
    <cellStyle name="T_KD - Stock WPs - NTHH_BAO GIA-moi_Dat kinh so   -17082012-Nha A Trung TGD" xfId="1633"/>
    <cellStyle name="T_KD - Stock WPs - NTHH_BAO GIA-moi_KINH NHA CO NGA 18-09-12" xfId="1634"/>
    <cellStyle name="T_KD - Stock WPs - NTHH_BAO GIA-moi_thong ke kinh PHONG mau-sxl1" xfId="1635"/>
    <cellStyle name="T_KD - Stock WPs - NTHH_BAO GIA-moi_thong ke kinh Tang mau-sxl1" xfId="1636"/>
    <cellStyle name="T_KD - Stock WPs - NTHH_CSMH 1C" xfId="1637"/>
    <cellStyle name="T_KD - Stock WPs - NTHH_Sliding door&amp;window SR_SF" xfId="1638"/>
    <cellStyle name="T_KD - Stock WPs - NTHH_Sliding door&amp;window SR_SF 2" xfId="1639"/>
    <cellStyle name="T_KD - Stock WPs - NTHH_Sliding door&amp;window SR_SF 3" xfId="1640"/>
    <cellStyle name="T_KD - Stock WPs - NTHH_Sliding door&amp;window SR_SF 4" xfId="1641"/>
    <cellStyle name="T_KD - Stock WPs - NTHH_Sliding door&amp;window SR_SF 5" xfId="1642"/>
    <cellStyle name="T_KD - Stock WPs - NTHH_Sliding door&amp;window SR_SF_Dat kinh so   -17082012-Nha A Trung TGD" xfId="1643"/>
    <cellStyle name="T_KD - Stock WPs - NTHH_Sliding door&amp;window SR_SF_KINH NHA CO NGA 18-09-12" xfId="1644"/>
    <cellStyle name="T_KD - Stock WPs - NTHH_Sliding door&amp;window SR_SF_thong ke kinh PHONG mau-sxl1" xfId="1645"/>
    <cellStyle name="T_KD - Stock WPs - NTHH_Sliding door&amp;window SR_SF_thong ke kinh Tang mau-sxl1" xfId="1646"/>
    <cellStyle name="T_Long term prepayments" xfId="1647"/>
    <cellStyle name="T_Long term prepayments_BAO GIA-moi" xfId="1648"/>
    <cellStyle name="T_Long term prepayments_BAO GIA-moi 2" xfId="1649"/>
    <cellStyle name="T_Long term prepayments_BAO GIA-moi 3" xfId="1650"/>
    <cellStyle name="T_Long term prepayments_BAO GIA-moi 4" xfId="1651"/>
    <cellStyle name="T_Long term prepayments_BAO GIA-moi 5" xfId="1652"/>
    <cellStyle name="T_Long term prepayments_BAO GIA-moi_Dat kinh so   -17082012-Nha A Trung TGD" xfId="1653"/>
    <cellStyle name="T_Long term prepayments_BAO GIA-moi_KINH NHA CO NGA 18-09-12" xfId="1654"/>
    <cellStyle name="T_Long term prepayments_BAO GIA-moi_thong ke kinh PHONG mau-sxl1" xfId="1655"/>
    <cellStyle name="T_Long term prepayments_BAO GIA-moi_thong ke kinh Tang mau-sxl1" xfId="1656"/>
    <cellStyle name="T_Long term prepayments_CSMH 1C" xfId="1657"/>
    <cellStyle name="T_Long term prepayments_Sliding door&amp;window SR_SF" xfId="1658"/>
    <cellStyle name="T_Long term prepayments_Sliding door&amp;window SR_SF 2" xfId="1659"/>
    <cellStyle name="T_Long term prepayments_Sliding door&amp;window SR_SF 3" xfId="1660"/>
    <cellStyle name="T_Long term prepayments_Sliding door&amp;window SR_SF 4" xfId="1661"/>
    <cellStyle name="T_Long term prepayments_Sliding door&amp;window SR_SF 5" xfId="1662"/>
    <cellStyle name="T_Long term prepayments_Sliding door&amp;window SR_SF_Dat kinh so   -17082012-Nha A Trung TGD" xfId="1663"/>
    <cellStyle name="T_Long term prepayments_Sliding door&amp;window SR_SF_KINH NHA CO NGA 18-09-12" xfId="1664"/>
    <cellStyle name="T_Long term prepayments_Sliding door&amp;window SR_SF_thong ke kinh PHONG mau-sxl1" xfId="1665"/>
    <cellStyle name="T_Long term prepayments_Sliding door&amp;window SR_SF_thong ke kinh Tang mau-sxl1" xfId="1666"/>
    <cellStyle name="T_mau Bao gia cua nhua uPVC " xfId="1667"/>
    <cellStyle name="T_NPP Khanh Vinh Thai Nguyen - BC KTTB_CTrinh_TB__20_loc__Milk_Yomilk_CK1" xfId="1668"/>
    <cellStyle name="T_NPP Khanh Vinh Thai Nguyen - BC KTTB_CTrinh_TB__20_loc__Milk_Yomilk_CK1_BAO GIA-moi" xfId="1669"/>
    <cellStyle name="T_NPP Khanh Vinh Thai Nguyen - BC KTTB_CTrinh_TB__20_loc__Milk_Yomilk_CK1_Casement door" xfId="1670"/>
    <cellStyle name="T_NPP Khanh Vinh Thai Nguyen - BC KTTB_CTrinh_TB__20_loc__Milk_Yomilk_CK1_Casement window" xfId="1671"/>
    <cellStyle name="T_NPP Khanh Vinh Thai Nguyen - BC KTTB_CTrinh_TB__20_loc__Milk_Yomilk_CK1_Sliding door&amp;window SR_SF" xfId="1672"/>
    <cellStyle name="T_Sheet1" xfId="1673"/>
    <cellStyle name="T_Sheet1_BAO GIA-moi" xfId="1674"/>
    <cellStyle name="T_Sheet1_Casement door" xfId="1675"/>
    <cellStyle name="T_Sheet1_Casement window" xfId="1676"/>
    <cellStyle name="T_Sheet1_Sliding door&amp;window SR_SF" xfId="1677"/>
    <cellStyle name="T_Sliding door&amp;window SR_SF" xfId="1678"/>
    <cellStyle name="T_Sliding door&amp;window SR_SF 2" xfId="1679"/>
    <cellStyle name="T_Sliding door&amp;window SR_SF 3" xfId="1680"/>
    <cellStyle name="T_Sliding door&amp;window SR_SF 4" xfId="1681"/>
    <cellStyle name="T_Sliding door&amp;window SR_SF 5" xfId="1682"/>
    <cellStyle name="T_Sliding door&amp;window SR_SF_Dat kinh so   -17082012-Nha A Trung TGD" xfId="1683"/>
    <cellStyle name="T_Sliding door&amp;window SR_SF_KINH NHA CO NGA 18-09-12" xfId="1684"/>
    <cellStyle name="T_Sliding door&amp;window SR_SF_thong ke kinh PHONG mau-sxl1" xfId="1685"/>
    <cellStyle name="T_Sliding door&amp;window SR_SF_thong ke kinh Tang mau-sxl1" xfId="1686"/>
    <cellStyle name="T_sua chua cham trung bay  mien Bac" xfId="1687"/>
    <cellStyle name="T_sua chua cham trung bay  mien Bac_BAO GIA-moi" xfId="1688"/>
    <cellStyle name="T_sua chua cham trung bay  mien Bac_Casement door" xfId="1689"/>
    <cellStyle name="T_sua chua cham trung bay  mien Bac_Casement window" xfId="1690"/>
    <cellStyle name="T_sua chua cham trung bay  mien Bac_Sliding door&amp;window SR_SF" xfId="1691"/>
    <cellStyle name="T_tong kho 31.12.06" xfId="1692"/>
    <cellStyle name="T_tong kho 31.12.06_BAO GIA-moi" xfId="1693"/>
    <cellStyle name="T_tong kho 31.12.06_Casement door" xfId="1694"/>
    <cellStyle name="T_tong kho 31.12.06_Casement window" xfId="1695"/>
    <cellStyle name="T_tong kho 31.12.06_Sliding door&amp;window SR_SF" xfId="1696"/>
    <cellStyle name="Text" xfId="1697"/>
    <cellStyle name="Text Indent A" xfId="1698"/>
    <cellStyle name="Text Indent B" xfId="1699"/>
    <cellStyle name="Text Indent B 2" xfId="1700"/>
    <cellStyle name="Text Indent B 3" xfId="1701"/>
    <cellStyle name="Text Indent B 4" xfId="1702"/>
    <cellStyle name="Text Indent B 5" xfId="1703"/>
    <cellStyle name="Text Indent C" xfId="1704"/>
    <cellStyle name="Text Indent C 2" xfId="1705"/>
    <cellStyle name="Text Indent C 3" xfId="1706"/>
    <cellStyle name="Text Indent C 4" xfId="1707"/>
    <cellStyle name="Text Indent C 5" xfId="1708"/>
    <cellStyle name="Text_BAO GIA-moi" xfId="1709"/>
    <cellStyle name="th" xfId="1710"/>
    <cellStyle name="þ_x001d_" xfId="1711"/>
    <cellStyle name="th_BAO GIA-moi" xfId="1712"/>
    <cellStyle name="Thanh" xfId="1713"/>
    <cellStyle name="þ_x001d_ð¤_x000c_¯" xfId="1714"/>
    <cellStyle name="þ_x001d_ð¤_x000c_¯þ_x0014__x000d_¨" xfId="1715"/>
    <cellStyle name="þ_x001d_ð¤_x000c_¯þ_x0014__x000d_¨þU_x0001_À_x0004_ _x0015__x000f__x0001__x0001_" xfId="1716"/>
    <cellStyle name="þ_x001d_ð·_x000c_æþ'_x000d_ßþU_x0001_Ø_x0005_ü_x0014__x0007__x0001__x0001_" xfId="1717"/>
    <cellStyle name="þ_x001d_ð·_x000c_æþ'_x000d_ßþU_x0001_Ø_x0005_ü_x0014__x0007__x0001__x0001_ 2" xfId="1718"/>
    <cellStyle name="þ_x001d_ð·_x000c_æþ'_x000d_ßþU_x0001_Ø_x0005_ü_x0014__x0007__x0001__x0001_ 3" xfId="1719"/>
    <cellStyle name="þ_x001d_ð·_x000c_æþ'_x000d_ßþU_x0001_Ø_x0005_ü_x0014__x0007__x0001__x0001_ 4" xfId="1720"/>
    <cellStyle name="þ_x001d_ð·_x000c_æþ'_x000d_ßþU_x0001_Ø_x0005_ü_x0014__x0007__x0001__x0001_ 5" xfId="1721"/>
    <cellStyle name="þ_x001d_ð·_x000c_æþ'_x000d_ßþU_x0001_Ø_x0005_ü_x0014__x0007__x0001__x0001__Dat kinh so   -17082012-Nha A Trung TGD" xfId="1722"/>
    <cellStyle name="þ_x001d_ð2_x000c_ëþ_x0002__x000d_ÞþU_x0001_R_x0006_—_x0007__x0007__x0001__x0001_" xfId="1723"/>
    <cellStyle name="þ_x001d_ð2_x000c_ëþ_x0002__x000d_ÞþU_x0001_R_x0006_—_x0007__x0007__x0001__x0001_ 2" xfId="1724"/>
    <cellStyle name="þ_x001d_ð2_x000c_ëþ_x0002__x000d_ÞþU_x0001_R_x0006_—_x0007__x0007__x0001__x0001_ 3" xfId="1725"/>
    <cellStyle name="þ_x001d_ð2_x000c_ëþ_x0002__x000d_ÞþU_x0001_R_x0006_—_x0007__x0007__x0001__x0001_ 4" xfId="1726"/>
    <cellStyle name="þ_x001d_ð2_x000c_ëþ_x0002__x000d_ÞþU_x0001_R_x0006_—_x0007__x0007__x0001__x0001_ 5" xfId="1727"/>
    <cellStyle name="þ_x001d_ðK_x000c_Fý_x001b_" xfId="1728"/>
    <cellStyle name="þ_x001d_ðK_x000c_Fý_x001b__x000d_" xfId="1729"/>
    <cellStyle name="þ_x001d_ðK_x000c_Fý_x001b__x000d_9" xfId="1730"/>
    <cellStyle name="þ_x001d_ðK_x000c_Fý_x001b__x000d_9ýU" xfId="1731"/>
    <cellStyle name="þ_x001d_ðK_x000c_Fý_x001b__x000d_9ýU_x0001_Ð" xfId="1732"/>
    <cellStyle name="þ_x001d_ðK_x000c_Fý_x001b__x000d_9ýU_x0001_Ð_x0008_" xfId="1733"/>
    <cellStyle name="þ_x001d_ðK_x000c_Fý_x001b__x000d_9ýU_x0001_Ð_BAO GIA-moi" xfId="1734"/>
    <cellStyle name="þ_x001d_ðK_x000c_Fý_x001b__x000d_9ýU_x0001_Ð_x0008_¦)_x0007__x0001__x0001_" xfId="1735"/>
    <cellStyle name="þ_x001d_ðK_x000c_Fý_x001b__BAO GIA-moi" xfId="1736"/>
    <cellStyle name="Times New Roman" xfId="1737"/>
    <cellStyle name="trang" xfId="1738"/>
    <cellStyle name="ts" xfId="1739"/>
    <cellStyle name="ts 2" xfId="1740"/>
    <cellStyle name="ts 3" xfId="1741"/>
    <cellStyle name="ts 4" xfId="1742"/>
    <cellStyle name="ts 5" xfId="1743"/>
    <cellStyle name="Tusental (0)_pldt" xfId="1744"/>
    <cellStyle name="Tusental_pldt" xfId="1745"/>
    <cellStyle name="UNIDAGSCode" xfId="1746"/>
    <cellStyle name="UNIDAGSCode 2" xfId="1747"/>
    <cellStyle name="UNIDAGSCode 3" xfId="1748"/>
    <cellStyle name="UNIDAGSCode 4" xfId="1749"/>
    <cellStyle name="UNIDAGSCode 5" xfId="1750"/>
    <cellStyle name="UNIDAGSCode2" xfId="1751"/>
    <cellStyle name="UNIDAGSCurrency" xfId="1752"/>
    <cellStyle name="UNIDAGSCurrency 2" xfId="1753"/>
    <cellStyle name="UNIDAGSCurrency 3" xfId="1754"/>
    <cellStyle name="UNIDAGSCurrency 4" xfId="1755"/>
    <cellStyle name="UNIDAGSCurrency 5" xfId="1756"/>
    <cellStyle name="UNIDAGSDate" xfId="1757"/>
    <cellStyle name="UNIDAGSDate 2" xfId="1758"/>
    <cellStyle name="UNIDAGSDate 3" xfId="1759"/>
    <cellStyle name="UNIDAGSDate 4" xfId="1760"/>
    <cellStyle name="UNIDAGSDate 5" xfId="1761"/>
    <cellStyle name="UNIDAGSPercent" xfId="1762"/>
    <cellStyle name="UNIDAGSPercent 2" xfId="1763"/>
    <cellStyle name="UNIDAGSPercent 3" xfId="1764"/>
    <cellStyle name="UNIDAGSPercent 4" xfId="1765"/>
    <cellStyle name="UNIDAGSPercent 5" xfId="1766"/>
    <cellStyle name="UNIDAGSPercent2" xfId="1767"/>
    <cellStyle name="UNIDAGSPercent2 2" xfId="1768"/>
    <cellStyle name="UNIDAGSPercent2 3" xfId="1769"/>
    <cellStyle name="UNIDAGSPercent2 4" xfId="1770"/>
    <cellStyle name="UNIDAGSPercent2 5" xfId="1771"/>
    <cellStyle name="Valuta (0)_pldt" xfId="1772"/>
    <cellStyle name="Valuta_pldt" xfId="1773"/>
    <cellStyle name="viet" xfId="1774"/>
    <cellStyle name="viet2" xfId="1775"/>
    <cellStyle name="VN new romanNormal" xfId="1776"/>
    <cellStyle name="VN time new roman" xfId="1777"/>
    <cellStyle name="vnbo" xfId="1778"/>
    <cellStyle name="vnhead1" xfId="1779"/>
    <cellStyle name="vnhead2" xfId="1780"/>
    <cellStyle name="vnhead3" xfId="1781"/>
    <cellStyle name="vnhead4" xfId="1782"/>
    <cellStyle name="vntxt1" xfId="1783"/>
    <cellStyle name="vntxt2" xfId="1784"/>
    <cellStyle name="Währung [0]_68574_Materialbedarfsliste" xfId="1785"/>
    <cellStyle name="Währung_68574_Materialbedarfsliste" xfId="1786"/>
    <cellStyle name="xuan" xfId="1787"/>
    <cellStyle name="Zeilenebene_1_主营业务利润明细表" xfId="1788"/>
    <cellStyle name="センター" xfId="1789"/>
    <cellStyle name="เครื่องหมายสกุลเงิน [0]_FTC_OFFER" xfId="1790"/>
    <cellStyle name="เครื่องหมายสกุลเงิน_FTC_OFFER" xfId="1791"/>
    <cellStyle name="เซลล์ตรวจสอบ" xfId="1792"/>
    <cellStyle name="เซลล์ที่มีการเชื่อมโยง" xfId="1793"/>
    <cellStyle name="แย่" xfId="1794"/>
    <cellStyle name="แสดงผล" xfId="1795"/>
    <cellStyle name="การคำนวณ" xfId="1796"/>
    <cellStyle name="ข้อความเตือน" xfId="1797"/>
    <cellStyle name="ข้อความอธิบาย" xfId="1798"/>
    <cellStyle name="ชื่อเรื่อง" xfId="1799"/>
    <cellStyle name="ดี" xfId="1800"/>
    <cellStyle name="ปกติ_FTC_OFFER" xfId="1801"/>
    <cellStyle name="ป้อนค่า" xfId="1802"/>
    <cellStyle name="ปานกลาง" xfId="1803"/>
    <cellStyle name="ผลรวม" xfId="1804"/>
    <cellStyle name="ส่วนที่ถูกเน้น1" xfId="1805"/>
    <cellStyle name="ส่วนที่ถูกเน้น2" xfId="1806"/>
    <cellStyle name="ส่วนที่ถูกเน้น3" xfId="1807"/>
    <cellStyle name="ส่วนที่ถูกเน้น4" xfId="1808"/>
    <cellStyle name="ส่วนที่ถูกเน้น5" xfId="1809"/>
    <cellStyle name="ส่วนที่ถูกเน้น6" xfId="1810"/>
    <cellStyle name="หมายเหตุ" xfId="1811"/>
    <cellStyle name="หัวเรื่อง 1" xfId="1812"/>
    <cellStyle name="หัวเรื่อง 2" xfId="1813"/>
    <cellStyle name="หัวเรื่อง 3" xfId="1814"/>
    <cellStyle name="หัวเรื่อง 4" xfId="1815"/>
    <cellStyle name=" [0.00]_ Att. 1- Cover" xfId="1816"/>
    <cellStyle name="_ Att. 1- Cover" xfId="1817"/>
    <cellStyle name="?_ Att. 1- Cover" xfId="1818"/>
    <cellStyle name="고정소숫점" xfId="1819"/>
    <cellStyle name="고정출력1" xfId="1820"/>
    <cellStyle name="고정출력2" xfId="1821"/>
    <cellStyle name="날짜" xfId="1822"/>
    <cellStyle name="달러" xfId="1823"/>
    <cellStyle name="똿뗦먛귟 [0.00]_PRODUCT DETAIL Q1" xfId="1824"/>
    <cellStyle name="똿뗦먛귟_PRODUCT DETAIL Q1" xfId="1825"/>
    <cellStyle name="믅됞 [0.00]_PRODUCT DETAIL Q1" xfId="1826"/>
    <cellStyle name="믅됞_PRODUCT DETAIL Q1" xfId="1827"/>
    <cellStyle name="백분율_††††† " xfId="1828"/>
    <cellStyle name="뷭?_BOOKSHIP" xfId="1829"/>
    <cellStyle name="숫자(R)" xfId="1830"/>
    <cellStyle name="쉼표 [0]_FABTEC AIR USA PANT 230302" xfId="1831"/>
    <cellStyle name="쉼표_Sample plan" xfId="1832"/>
    <cellStyle name="자리수" xfId="1833"/>
    <cellStyle name="자리수0" xfId="1834"/>
    <cellStyle name="콤마 [ - 유형1" xfId="1835"/>
    <cellStyle name="콤마 [ - 유형2" xfId="1836"/>
    <cellStyle name="콤마 [ - 유형3" xfId="1837"/>
    <cellStyle name="콤마 [ - 유형4" xfId="1838"/>
    <cellStyle name="콤마 [ - 유형5" xfId="1839"/>
    <cellStyle name="콤마 [ - 유형6" xfId="1840"/>
    <cellStyle name="콤마 [ - 유형7" xfId="1841"/>
    <cellStyle name="콤마 [ - 유형8" xfId="1842"/>
    <cellStyle name="콤마 [0]_ 비목별 월별기술 " xfId="1843"/>
    <cellStyle name="콤마_ 비목별 월별기술 " xfId="1844"/>
    <cellStyle name="통화 [0]_(type)총괄" xfId="1845"/>
    <cellStyle name="통화_(type)총괄" xfId="1846"/>
    <cellStyle name="퍼센트" xfId="1847"/>
    <cellStyle name="표준_(type)총괄" xfId="1848"/>
    <cellStyle name="합산" xfId="1849"/>
    <cellStyle name="화폐기호" xfId="1850"/>
    <cellStyle name="화폐기호0" xfId="1851"/>
    <cellStyle name="一般_00Q3902REV.1" xfId="1852"/>
    <cellStyle name="千位[0]_pldt" xfId="1853"/>
    <cellStyle name="千位_pldt" xfId="1854"/>
    <cellStyle name="千位分隔_2002固定资产明细表" xfId="1855"/>
    <cellStyle name="千分位[0]_00Q3902REV.1" xfId="1856"/>
    <cellStyle name="千分位_00Q3902REV.1" xfId="1857"/>
    <cellStyle name="后继超级链接_销售公司-2002年报表体系（12.21）" xfId="1858"/>
    <cellStyle name="已瀏覽過的超連結" xfId="1859"/>
    <cellStyle name="常?_Sales Forecast - TCLVN" xfId="1860"/>
    <cellStyle name="常规 19" xfId="1892"/>
    <cellStyle name="常规 19 2" xfId="1896"/>
    <cellStyle name="常规 19 2 2" xfId="1909"/>
    <cellStyle name="常规 19 3" xfId="1907"/>
    <cellStyle name="常规 4" xfId="1897"/>
    <cellStyle name="常规_4403-200312" xfId="1861"/>
    <cellStyle name="桁区切り [0.00]_††††† " xfId="1862"/>
    <cellStyle name="桁区切り_††††† " xfId="1863"/>
    <cellStyle name="標準_(A1)BOQ " xfId="1864"/>
    <cellStyle name="貨幣 [0]_00Q3902REV.1" xfId="1865"/>
    <cellStyle name="貨幣[0]_BRE" xfId="1866"/>
    <cellStyle name="貨幣_00Q3902REV.1" xfId="1867"/>
    <cellStyle name="超级链接_销售公司-2002年报表体系（12.21）" xfId="1868"/>
    <cellStyle name="超連結" xfId="1869"/>
    <cellStyle name="超連結_x000f_" xfId="1870"/>
    <cellStyle name="超連結_x000d_" xfId="1871"/>
    <cellStyle name="超連結??汸" xfId="1872"/>
    <cellStyle name="超連結?w?" xfId="1873"/>
    <cellStyle name="超連結?潒?" xfId="1874"/>
    <cellStyle name="超連結♇⹡汸" xfId="1875"/>
    <cellStyle name="超連結⁷潒慭" xfId="1876"/>
    <cellStyle name="超連結敎w慭" xfId="1877"/>
    <cellStyle name="通貨 [0.00]_††††† " xfId="1878"/>
    <cellStyle name="通貨_††††† " xfId="1879"/>
    <cellStyle name="隨後的超連結" xfId="1880"/>
    <cellStyle name="隨後的超連結n_x0003_" xfId="1881"/>
    <cellStyle name="隨後的超連結n汸s?呃L" xfId="1882"/>
    <cellStyle name="隨後的超連結n汸s䱘呃L" xfId="1883"/>
    <cellStyle name="隨後的超連結s?呃L?R" xfId="1884"/>
    <cellStyle name="隨後的超連結s䱘呃L䄀R" xfId="1885"/>
    <cellStyle name="非表示" xfId="1886"/>
  </cellStyles>
  <dxfs count="0"/>
  <tableStyles count="0" defaultTableStyle="TableStyleMedium9" defaultPivotStyle="PivotStyleLight16"/>
  <colors>
    <mruColors>
      <color rgb="FFCCFF66"/>
      <color rgb="FF66FFCC"/>
      <color rgb="FF66CCFF"/>
      <color rgb="FF33CCFF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457760</xdr:colOff>
      <xdr:row>0</xdr:row>
      <xdr:rowOff>21291</xdr:rowOff>
    </xdr:from>
    <xdr:to>
      <xdr:col>8</xdr:col>
      <xdr:colOff>838703</xdr:colOff>
      <xdr:row>4</xdr:row>
      <xdr:rowOff>180976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5060" y="21291"/>
          <a:ext cx="1628718" cy="9216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HANHPHAM2KX1\BGCV_VIRALWINDOW\BGCV_VIRALWINDOW\File%20excel%20b&#243;c%20ph&#7909;%20ki&#7879;n%20Viral\File%20b&#243;c%20PK%20Vir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ỔNG"/>
      <sheetName val="PA Giá KH đề xuất"/>
      <sheetName val="PHƯƠNG ÁN ĐAI LÍ"/>
      <sheetName val="CS1.1"/>
      <sheetName val="CSH1.3"/>
      <sheetName val="CS2.1"/>
      <sheetName val="CD1.1"/>
      <sheetName val="CD2.1"/>
      <sheetName val="CD3.1"/>
      <sheetName val="CD4.1"/>
      <sheetName val="CSL2C"/>
      <sheetName val="CSL3C"/>
      <sheetName val="CSL4C"/>
      <sheetName val="CDL2C"/>
      <sheetName val="CDL3C"/>
      <sheetName val="CDL4C"/>
      <sheetName val="CDL4C- 2 cố định"/>
      <sheetName val="CDL6C"/>
      <sheetName val="CĐTQ"/>
      <sheetName val="XẾP TRƯỢT"/>
      <sheetName val="CSQH"/>
    </sheetNames>
    <sheetDataSet>
      <sheetData sheetId="0">
        <row r="3">
          <cell r="D3" t="str">
            <v>VIRAL.TSVR2</v>
          </cell>
          <cell r="E3" t="str">
            <v>Tay nắm cửa sổ lưỡi gà (VR2)</v>
          </cell>
          <cell r="F3"/>
          <cell r="G3"/>
          <cell r="H3"/>
          <cell r="I3" t="str">
            <v>Chiếc</v>
          </cell>
          <cell r="J3" t="str">
            <v>VIRAL.TSVR3</v>
          </cell>
          <cell r="K3">
            <v>146953.64444444503</v>
          </cell>
          <cell r="L3"/>
          <cell r="M3"/>
          <cell r="N3" t="str">
            <v>Sigico</v>
          </cell>
          <cell r="O3" t="str">
            <v>VRA55, VRA50</v>
          </cell>
          <cell r="P3" t="str">
            <v>Tươi tham khảo Skyline</v>
          </cell>
        </row>
        <row r="4">
          <cell r="D4" t="str">
            <v>VIRAL.TSVR4</v>
          </cell>
          <cell r="E4" t="str">
            <v>Tay nắm cửa sổ trục vuông (VR4)</v>
          </cell>
          <cell r="F4"/>
          <cell r="G4"/>
          <cell r="H4"/>
          <cell r="I4" t="str">
            <v>Chiếc</v>
          </cell>
          <cell r="J4" t="str">
            <v>VIRAL.TSVR4</v>
          </cell>
          <cell r="K4">
            <v>155232.00000000003</v>
          </cell>
          <cell r="L4"/>
          <cell r="M4"/>
          <cell r="N4" t="str">
            <v>Sigico
Hỏi xem nó có cấp trục không ?</v>
          </cell>
          <cell r="O4" t="str">
            <v>VRE55, VRE65</v>
          </cell>
          <cell r="P4" t="str">
            <v>Tươi tham khảo Skyline</v>
          </cell>
        </row>
        <row r="5">
          <cell r="D5" t="str">
            <v>VIRAL.WB01-T</v>
          </cell>
          <cell r="E5" t="str">
            <v>tay nắm cong - Trái</v>
          </cell>
          <cell r="F5"/>
          <cell r="G5"/>
          <cell r="H5"/>
          <cell r="I5" t="str">
            <v>Chiếc</v>
          </cell>
          <cell r="J5" t="str">
            <v>VIRAL.WB01-T</v>
          </cell>
          <cell r="K5">
            <v>104720</v>
          </cell>
          <cell r="L5"/>
          <cell r="M5"/>
          <cell r="N5" t="str">
            <v>Sigico</v>
          </cell>
          <cell r="O5" t="str">
            <v>VRE55, VRE65</v>
          </cell>
        </row>
        <row r="6">
          <cell r="D6" t="str">
            <v>VIRAL.WB01-P</v>
          </cell>
          <cell r="E6" t="str">
            <v>tay nắm cong - Phải</v>
          </cell>
          <cell r="F6"/>
          <cell r="G6"/>
          <cell r="H6"/>
          <cell r="I6" t="str">
            <v>Chiếc</v>
          </cell>
          <cell r="J6" t="str">
            <v>VIRAL.WB01-P</v>
          </cell>
          <cell r="K6">
            <v>104720.00000000003</v>
          </cell>
          <cell r="L6"/>
          <cell r="M6"/>
          <cell r="N6" t="str">
            <v>Sigico</v>
          </cell>
          <cell r="O6" t="str">
            <v>VRE55, VRE65</v>
          </cell>
        </row>
        <row r="7">
          <cell r="D7" t="str">
            <v>VIRAL.AGC30</v>
          </cell>
          <cell r="E7" t="str">
            <v xml:space="preserve">Hộp chuyển động 30 </v>
          </cell>
          <cell r="F7"/>
          <cell r="G7"/>
          <cell r="H7"/>
          <cell r="I7" t="str">
            <v>Chiếc</v>
          </cell>
          <cell r="J7" t="str">
            <v>VIRAL.AGC30</v>
          </cell>
          <cell r="K7">
            <v>94282.222222222248</v>
          </cell>
          <cell r="L7"/>
          <cell r="M7"/>
          <cell r="N7" t="str">
            <v>Skyline</v>
          </cell>
          <cell r="O7" t="str">
            <v>VRE55, VRE65</v>
          </cell>
          <cell r="P7" t="str">
            <v>Yến</v>
          </cell>
        </row>
        <row r="8">
          <cell r="D8" t="str">
            <v>VIRAL.AGC35</v>
          </cell>
          <cell r="E8" t="str">
            <v>Hộp chuyển động 35</v>
          </cell>
          <cell r="F8"/>
          <cell r="G8"/>
          <cell r="H8"/>
          <cell r="I8" t="str">
            <v>Chiếc</v>
          </cell>
          <cell r="J8" t="str">
            <v>VIRAL.AGC35</v>
          </cell>
          <cell r="K8">
            <v>105336.00000000003</v>
          </cell>
          <cell r="L8"/>
          <cell r="M8"/>
          <cell r="N8" t="str">
            <v>Yến</v>
          </cell>
          <cell r="O8" t="str">
            <v>VRE55, VRE65</v>
          </cell>
          <cell r="P8" t="str">
            <v>Anh Bình cấp trục
0989843386</v>
          </cell>
        </row>
        <row r="9">
          <cell r="D9" t="str">
            <v>VIRAL.AGC30-1</v>
          </cell>
          <cell r="E9" t="str">
            <v>Trục &amp; ốc vít (VRE55)</v>
          </cell>
          <cell r="F9"/>
          <cell r="G9"/>
          <cell r="H9"/>
          <cell r="I9" t="str">
            <v>Bộ</v>
          </cell>
          <cell r="J9" t="str">
            <v>VIRAL.AGC30-1</v>
          </cell>
          <cell r="K9">
            <v>18480</v>
          </cell>
          <cell r="L9"/>
          <cell r="M9"/>
          <cell r="P9" t="str">
            <v>Anh Bình cấp trục
0989843386</v>
          </cell>
        </row>
        <row r="10">
          <cell r="D10" t="str">
            <v>VIRAL.AGC35-1</v>
          </cell>
          <cell r="E10" t="str">
            <v>Trục &amp; ốc vít (VRE65)</v>
          </cell>
          <cell r="F10"/>
          <cell r="G10"/>
          <cell r="H10"/>
          <cell r="I10" t="str">
            <v>Bộ</v>
          </cell>
          <cell r="J10" t="str">
            <v>VIRAL.AGC35-1</v>
          </cell>
          <cell r="K10">
            <v>24640.000000000004</v>
          </cell>
          <cell r="L10"/>
          <cell r="M10"/>
          <cell r="P10" t="str">
            <v>Anh Bình cấp trục
0989843386</v>
          </cell>
        </row>
        <row r="11">
          <cell r="D11" t="str">
            <v>VIRAL.1630FJS-16</v>
          </cell>
          <cell r="E11" t="str">
            <v>Đệm chống sệ</v>
          </cell>
          <cell r="F11"/>
          <cell r="G11"/>
          <cell r="H11"/>
          <cell r="I11" t="str">
            <v>Chiếc</v>
          </cell>
          <cell r="J11" t="str">
            <v>VIRAL.1630FJS-16</v>
          </cell>
          <cell r="K11">
            <v>2464.0000000000005</v>
          </cell>
          <cell r="L11"/>
          <cell r="M11"/>
          <cell r="O11" t="str">
            <v>VRA55, VRA50</v>
          </cell>
          <cell r="P11" t="str">
            <v>Hỏi xưởng 2</v>
          </cell>
        </row>
        <row r="12">
          <cell r="D12" t="str">
            <v>VIRAL.BDS</v>
          </cell>
          <cell r="E12" t="str">
            <v>Bịt đố động trên/dưới</v>
          </cell>
          <cell r="F12"/>
          <cell r="G12"/>
          <cell r="H12"/>
          <cell r="I12" t="str">
            <v>cặp</v>
          </cell>
          <cell r="J12" t="str">
            <v>VIRAL.BDS</v>
          </cell>
          <cell r="K12">
            <v>18480</v>
          </cell>
          <cell r="L12"/>
          <cell r="M12"/>
          <cell r="O12" t="str">
            <v>VRA55, VRA50</v>
          </cell>
        </row>
        <row r="13">
          <cell r="D13" t="str">
            <v>VIRAL.KEVILA2</v>
          </cell>
          <cell r="E13" t="str">
            <v>Tay nắm gài</v>
          </cell>
          <cell r="F13"/>
          <cell r="G13"/>
          <cell r="H13"/>
          <cell r="I13" t="str">
            <v>Chiếc</v>
          </cell>
          <cell r="J13" t="str">
            <v>VIRAL.KEVILA2</v>
          </cell>
          <cell r="K13">
            <v>73920</v>
          </cell>
          <cell r="L13">
            <v>60000</v>
          </cell>
          <cell r="M13" t="str">
            <v>Kevila</v>
          </cell>
          <cell r="N13" t="str">
            <v>Kevila</v>
          </cell>
          <cell r="O13" t="str">
            <v>Cửa kho
VRA55, VRA50</v>
          </cell>
          <cell r="Q13">
            <v>73.92</v>
          </cell>
        </row>
        <row r="14">
          <cell r="D14" t="str">
            <v>VIRAL.VITO10</v>
          </cell>
          <cell r="E14" t="str">
            <v>Đầu T trắng</v>
          </cell>
          <cell r="F14"/>
          <cell r="G14"/>
          <cell r="H14"/>
          <cell r="I14" t="str">
            <v>Chiếc</v>
          </cell>
          <cell r="J14" t="str">
            <v>VIRAL.VITO10</v>
          </cell>
          <cell r="K14">
            <v>14168.000000000004</v>
          </cell>
          <cell r="L14"/>
          <cell r="M14"/>
          <cell r="N14" t="str">
            <v>Yến</v>
          </cell>
          <cell r="O14" t="str">
            <v>VRA55, VRA50</v>
          </cell>
          <cell r="P14" t="str">
            <v>Cắt ngắn</v>
          </cell>
        </row>
        <row r="15">
          <cell r="D15" t="str">
            <v>VIRAL.VITO11</v>
          </cell>
          <cell r="E15" t="str">
            <v>Đầu khóa biên trắng</v>
          </cell>
          <cell r="F15"/>
          <cell r="G15"/>
          <cell r="H15"/>
          <cell r="I15" t="str">
            <v>Chiếc</v>
          </cell>
          <cell r="J15" t="str">
            <v>VIRAL.VITO11</v>
          </cell>
          <cell r="K15">
            <v>55440.000000000015</v>
          </cell>
          <cell r="L15"/>
          <cell r="M15"/>
          <cell r="N15" t="str">
            <v>Yến</v>
          </cell>
          <cell r="O15" t="str">
            <v>VRA55, VRA50</v>
          </cell>
        </row>
        <row r="16">
          <cell r="D16"/>
          <cell r="E16" t="str">
            <v>Đầu T đen</v>
          </cell>
          <cell r="F16"/>
          <cell r="G16"/>
          <cell r="H16"/>
          <cell r="I16" t="str">
            <v>Chiếc</v>
          </cell>
          <cell r="J16" t="str">
            <v>VIRAL.VITO10</v>
          </cell>
          <cell r="K16">
            <v>14168.000000000004</v>
          </cell>
          <cell r="L16"/>
          <cell r="M16"/>
          <cell r="N16" t="str">
            <v>Yến</v>
          </cell>
          <cell r="O16" t="str">
            <v>VRA55, VRA50</v>
          </cell>
          <cell r="P16" t="str">
            <v>Cắt ngắn</v>
          </cell>
        </row>
        <row r="17">
          <cell r="D17"/>
          <cell r="E17" t="str">
            <v>Đầu khóa biên đen</v>
          </cell>
          <cell r="F17"/>
          <cell r="G17"/>
          <cell r="H17"/>
          <cell r="I17" t="str">
            <v>Chiếc</v>
          </cell>
          <cell r="J17" t="str">
            <v>VIRAL.VITO11</v>
          </cell>
          <cell r="K17">
            <v>55440.000000000015</v>
          </cell>
          <cell r="L17"/>
          <cell r="M17"/>
          <cell r="N17" t="str">
            <v>Yến</v>
          </cell>
          <cell r="O17" t="str">
            <v>VRA55, VRA50</v>
          </cell>
        </row>
        <row r="18">
          <cell r="D18" t="str">
            <v>VIRAL.VITO1</v>
          </cell>
          <cell r="E18" t="str">
            <v>Vấu hãm cửa 1 cánh</v>
          </cell>
          <cell r="F18"/>
          <cell r="G18"/>
          <cell r="H18"/>
          <cell r="I18" t="str">
            <v>Chiếc</v>
          </cell>
          <cell r="J18" t="str">
            <v>VIRAL.VITO1</v>
          </cell>
          <cell r="K18">
            <v>30800.000000000007</v>
          </cell>
          <cell r="L18"/>
          <cell r="M18"/>
          <cell r="N18" t="str">
            <v>Yến</v>
          </cell>
          <cell r="O18" t="str">
            <v>Cửa mở quay 1 cánh
VRA55, VRA50</v>
          </cell>
          <cell r="P18" t="str">
            <v>Thâm chi tiết của aBình</v>
          </cell>
        </row>
        <row r="19">
          <cell r="D19" t="str">
            <v>VIRAL.SK32</v>
          </cell>
          <cell r="E19" t="str">
            <v>Vấu hãm cửa 1 cánh (lật khung)</v>
          </cell>
          <cell r="F19"/>
          <cell r="G19"/>
          <cell r="H19"/>
          <cell r="I19" t="str">
            <v>Chiếc</v>
          </cell>
          <cell r="J19" t="str">
            <v>VIRAL.SK32</v>
          </cell>
          <cell r="K19">
            <v>9856.0000000000018</v>
          </cell>
          <cell r="L19"/>
          <cell r="M19"/>
          <cell r="O19" t="str">
            <v>Lật khuôn
VRA55, VRA50</v>
          </cell>
        </row>
        <row r="20">
          <cell r="D20" t="str">
            <v>VIRAL.VITO8</v>
          </cell>
          <cell r="E20" t="str">
            <v>Vấu hãm cửa 2 cánh VRA</v>
          </cell>
          <cell r="F20"/>
          <cell r="G20"/>
          <cell r="H20"/>
          <cell r="I20" t="str">
            <v>Chiếc</v>
          </cell>
          <cell r="J20" t="str">
            <v>VIRAL.VITO8</v>
          </cell>
          <cell r="K20">
            <v>7392.0000000000018</v>
          </cell>
          <cell r="L20"/>
          <cell r="M20"/>
          <cell r="N20" t="str">
            <v>Yến</v>
          </cell>
          <cell r="O20" t="str">
            <v>Cửa mở quay 2 cánh
VRA55, VRA50</v>
          </cell>
        </row>
        <row r="21">
          <cell r="D21" t="str">
            <v>VIRAL.VITO2</v>
          </cell>
          <cell r="E21" t="str">
            <v>Vấu cửa sổ rãnh C (Châu Âu)</v>
          </cell>
          <cell r="F21"/>
          <cell r="G21"/>
          <cell r="H21"/>
          <cell r="I21" t="str">
            <v>Chiếc</v>
          </cell>
          <cell r="J21" t="str">
            <v>VIRAL.VITO2</v>
          </cell>
          <cell r="K21">
            <v>14784.000000000004</v>
          </cell>
          <cell r="L21"/>
          <cell r="M21"/>
          <cell r="N21" t="str">
            <v>Yến</v>
          </cell>
          <cell r="O21" t="str">
            <v>Cửa mở quay 2 cánh
VRA55, VRA50</v>
          </cell>
        </row>
        <row r="22">
          <cell r="D22" t="str">
            <v>VIRAL.SKP04</v>
          </cell>
          <cell r="E22" t="str">
            <v>Bộ chuyển động 4 thứ - cửa sổ  (VRE)</v>
          </cell>
          <cell r="F22"/>
          <cell r="G22"/>
          <cell r="H22"/>
          <cell r="I22" t="str">
            <v>Chiếc</v>
          </cell>
          <cell r="J22" t="str">
            <v>VIRAL.SKP04</v>
          </cell>
          <cell r="K22">
            <v>68992.000000000015</v>
          </cell>
          <cell r="L22">
            <v>56000</v>
          </cell>
          <cell r="M22" t="str">
            <v>SKP04  (Skyline)</v>
          </cell>
          <cell r="N22" t="str">
            <v>Skyline</v>
          </cell>
          <cell r="O22" t="str">
            <v>VRE55, VRE65</v>
          </cell>
          <cell r="Q22">
            <v>68.992000000000019</v>
          </cell>
        </row>
        <row r="23">
          <cell r="D23" t="str">
            <v>VIRAL.AMH51.011</v>
          </cell>
          <cell r="E23" t="str">
            <v>Bản lề cửa sổ (rãnh Châu Âu)
(Bản lề cối)</v>
          </cell>
          <cell r="F23"/>
          <cell r="G23"/>
          <cell r="H23"/>
          <cell r="I23" t="str">
            <v>Chiếc</v>
          </cell>
          <cell r="J23" t="str">
            <v>VIRAL.AMH51.011</v>
          </cell>
          <cell r="K23">
            <v>61600.000000000015</v>
          </cell>
          <cell r="L23"/>
          <cell r="M23" t="str">
            <v>Skyline</v>
          </cell>
          <cell r="N23" t="str">
            <v>Skyline</v>
          </cell>
          <cell r="O23" t="str">
            <v>Cửa kho
VRE55, VRE65</v>
          </cell>
        </row>
        <row r="24">
          <cell r="D24" t="str">
            <v>VIRAL.15887-0*</v>
          </cell>
          <cell r="E24" t="str">
            <v>Bản lề cửa sổ (rãnh Châu Âu)
(Bản lề cối)</v>
          </cell>
          <cell r="F24"/>
          <cell r="G24"/>
          <cell r="H24"/>
          <cell r="I24" t="str">
            <v>Chiếc</v>
          </cell>
          <cell r="J24" t="str">
            <v>VIRAL.AMH51.011</v>
          </cell>
          <cell r="K24">
            <v>61600.000000000015</v>
          </cell>
          <cell r="L24"/>
          <cell r="M24" t="str">
            <v>Skyline</v>
          </cell>
          <cell r="N24" t="str">
            <v>Skyline</v>
          </cell>
          <cell r="O24" t="str">
            <v>Cửa kho
VRE55, VRE65</v>
          </cell>
        </row>
        <row r="25">
          <cell r="D25" t="str">
            <v>VIRAL.SKY-2</v>
          </cell>
          <cell r="E25" t="str">
            <v>Bản lề cửa sổ (rãnh K)
(Bản lề cối)</v>
          </cell>
          <cell r="F25"/>
          <cell r="G25"/>
          <cell r="H25"/>
          <cell r="I25" t="str">
            <v>Chiếc</v>
          </cell>
          <cell r="J25" t="str">
            <v>VIRAL.SKY-2</v>
          </cell>
          <cell r="K25">
            <v>44352.000000000007</v>
          </cell>
          <cell r="L25"/>
          <cell r="M25"/>
          <cell r="N25" t="str">
            <v>Skyline</v>
          </cell>
          <cell r="O25" t="str">
            <v>Cửa kho, Cửa đi VRA50
VRA55</v>
          </cell>
        </row>
        <row r="26">
          <cell r="D26" t="str">
            <v>VIRAL.BANLEA12-22</v>
          </cell>
          <cell r="E26" t="str">
            <v>Bản lề A mở quay  rãnh 22 A14</v>
          </cell>
          <cell r="F26"/>
          <cell r="G26"/>
          <cell r="H26"/>
          <cell r="I26" t="str">
            <v>Chiếc</v>
          </cell>
          <cell r="J26" t="str">
            <v>VIRAL.BANLEA12-22</v>
          </cell>
          <cell r="K26">
            <v>0</v>
          </cell>
          <cell r="L26"/>
          <cell r="M26"/>
          <cell r="O26" t="str">
            <v>VRA55, VRA50</v>
          </cell>
          <cell r="P26" t="str">
            <v>Skyline
Cần bổ xung thêm</v>
          </cell>
        </row>
        <row r="27">
          <cell r="D27" t="str">
            <v>VIRAL.BANLEA14-22</v>
          </cell>
          <cell r="E27" t="str">
            <v>Bản lề A mở quay  rãnh 22 A12</v>
          </cell>
          <cell r="F27"/>
          <cell r="G27"/>
          <cell r="H27"/>
          <cell r="I27" t="str">
            <v>Chiếc</v>
          </cell>
          <cell r="J27" t="str">
            <v>VIRAL.BANLEA14-22</v>
          </cell>
          <cell r="K27">
            <v>72688.000000000015</v>
          </cell>
          <cell r="L27"/>
          <cell r="M27"/>
          <cell r="N27" t="str">
            <v>Sigigo</v>
          </cell>
          <cell r="O27" t="str">
            <v>VRA55, VRA50</v>
          </cell>
          <cell r="P27" t="str">
            <v>Skyline</v>
          </cell>
        </row>
        <row r="28">
          <cell r="D28" t="str">
            <v>VIRAL.BLA14-CA</v>
          </cell>
          <cell r="E28" t="str">
            <v xml:space="preserve">Bản lề A mở quay  rãnh Châu Âu  A12
(Loại chịu tải lớn)
</v>
          </cell>
          <cell r="F28"/>
          <cell r="G28"/>
          <cell r="H28"/>
          <cell r="I28" t="str">
            <v>Chiếc</v>
          </cell>
          <cell r="J28" t="str">
            <v>VIRAL.BANLEA14-CA</v>
          </cell>
          <cell r="K28">
            <v>110880</v>
          </cell>
          <cell r="L28"/>
          <cell r="M28"/>
          <cell r="N28" t="str">
            <v>Sigigo</v>
          </cell>
          <cell r="O28" t="str">
            <v>Cửa cánh lớn
VRE55, VRE65</v>
          </cell>
        </row>
        <row r="29">
          <cell r="D29" t="str">
            <v>VIRAL.BLAN</v>
          </cell>
          <cell r="E29" t="str">
            <v xml:space="preserve">Bản lề ẩn  rãnh Châu Âu  
</v>
          </cell>
          <cell r="F29"/>
          <cell r="G29"/>
          <cell r="H29"/>
          <cell r="I29" t="str">
            <v>Chiếc</v>
          </cell>
          <cell r="J29" t="str">
            <v>VIRAL.BANLEA14-CA</v>
          </cell>
          <cell r="K29">
            <v>0</v>
          </cell>
          <cell r="L29"/>
          <cell r="M29"/>
          <cell r="N29" t="str">
            <v>Sigigo</v>
          </cell>
          <cell r="O29" t="str">
            <v>Cửa cánh lớn
VRE55, VRE65</v>
          </cell>
        </row>
        <row r="30">
          <cell r="D30" t="str">
            <v>VIRAL.BANLEA12-13</v>
          </cell>
          <cell r="E30" t="str">
            <v xml:space="preserve">Bản lề A mở quay  rãnh Châu Âu  A12
</v>
          </cell>
          <cell r="F30"/>
          <cell r="G30"/>
          <cell r="H30"/>
          <cell r="I30" t="str">
            <v>Chiếc</v>
          </cell>
          <cell r="J30" t="str">
            <v>VIRAL.BANLEA12-13</v>
          </cell>
          <cell r="K30">
            <v>110880</v>
          </cell>
          <cell r="L30"/>
          <cell r="M30"/>
          <cell r="N30" t="str">
            <v>Yến</v>
          </cell>
          <cell r="O30" t="str">
            <v>Cửa cánh nhỏ
VRE55, VRE66</v>
          </cell>
          <cell r="P30" t="str">
            <v>Nhập bổ xung</v>
          </cell>
        </row>
        <row r="31">
          <cell r="D31" t="str">
            <v>VIRAL.BANLEA14-13</v>
          </cell>
          <cell r="E31" t="str">
            <v xml:space="preserve">Bản lề A mở quay  rãnh Châu Âu  A14
</v>
          </cell>
          <cell r="F31"/>
          <cell r="G31"/>
          <cell r="H31"/>
          <cell r="I31" t="str">
            <v>Chiếc</v>
          </cell>
          <cell r="J31" t="str">
            <v>VIRAL.BANLEA14-13</v>
          </cell>
          <cell r="K31">
            <v>110880</v>
          </cell>
          <cell r="L31"/>
          <cell r="M31" t="str">
            <v>GY-13.5A-14 (Sigico)</v>
          </cell>
          <cell r="N31" t="str">
            <v>Yến</v>
          </cell>
          <cell r="O31" t="str">
            <v>Cửa cánh nhỏ
VRE55, VRE66</v>
          </cell>
          <cell r="P31" t="str">
            <v>Nhập bổ xung</v>
          </cell>
        </row>
        <row r="32">
          <cell r="D32" t="str">
            <v>VIRAL.GY-FC13.5-12</v>
          </cell>
          <cell r="E32" t="str">
            <v>Thanh hạn vị (VRE)</v>
          </cell>
          <cell r="F32"/>
          <cell r="G32"/>
          <cell r="H32"/>
          <cell r="I32" t="str">
            <v>Chiếc</v>
          </cell>
          <cell r="J32" t="str">
            <v>VIRAL.GY-FC13.5-12</v>
          </cell>
          <cell r="K32">
            <v>73920</v>
          </cell>
          <cell r="L32"/>
          <cell r="M32" t="str">
            <v>TR14.13.16.12C38 (Hopo)</v>
          </cell>
          <cell r="Q32">
            <v>73.92</v>
          </cell>
        </row>
        <row r="33">
          <cell r="D33" t="str">
            <v>VIRAL.SSC10</v>
          </cell>
          <cell r="E33" t="str">
            <v>Chống gió rút (chống sao) - RÃNH K
dài 12 inch</v>
          </cell>
          <cell r="F33"/>
          <cell r="G33"/>
          <cell r="H33"/>
          <cell r="I33" t="str">
            <v>Cặp</v>
          </cell>
          <cell r="J33" t="str">
            <v>VIRAL.SSC10</v>
          </cell>
          <cell r="K33">
            <v>68273.333333333387</v>
          </cell>
          <cell r="L33"/>
          <cell r="M33"/>
        </row>
        <row r="34">
          <cell r="D34" t="str">
            <v>VIRAL.SS12.10C38</v>
          </cell>
          <cell r="E34" t="str">
            <v>Chống gió rút (chống sao) - RÃNH C</v>
          </cell>
          <cell r="F34"/>
          <cell r="G34"/>
          <cell r="H34"/>
          <cell r="I34" t="str">
            <v>Chiếc</v>
          </cell>
          <cell r="J34" t="str">
            <v>VIRAL.SS12.10C38</v>
          </cell>
          <cell r="K34">
            <v>98560</v>
          </cell>
          <cell r="L34"/>
          <cell r="M34" t="str">
            <v>SS12.10C38 (Hopo)</v>
          </cell>
          <cell r="N34" t="str">
            <v>Sigico</v>
          </cell>
          <cell r="O34" t="str">
            <v>VRA55, VRA50</v>
          </cell>
          <cell r="P34" t="str">
            <v>Hopo</v>
          </cell>
          <cell r="Q34">
            <v>98.560000000000016</v>
          </cell>
        </row>
        <row r="35">
          <cell r="D35" t="str">
            <v>GTR51528-08</v>
          </cell>
          <cell r="E35" t="str">
            <v>Chống sệ cánh VRE</v>
          </cell>
          <cell r="F35"/>
          <cell r="G35"/>
          <cell r="H35"/>
          <cell r="I35"/>
          <cell r="J35"/>
          <cell r="K35">
            <v>36344.000000000007</v>
          </cell>
          <cell r="L35"/>
          <cell r="M35" t="str">
            <v>Runas</v>
          </cell>
        </row>
        <row r="36">
          <cell r="D36" t="str">
            <v>9-40404</v>
          </cell>
          <cell r="E36" t="str">
            <v>Nắp nhựa chống sệ VRE</v>
          </cell>
          <cell r="F36"/>
          <cell r="G36"/>
          <cell r="H36"/>
          <cell r="I36"/>
          <cell r="J36"/>
          <cell r="K36">
            <v>5913.6</v>
          </cell>
          <cell r="L36"/>
          <cell r="M36" t="str">
            <v>Runas</v>
          </cell>
        </row>
        <row r="37">
          <cell r="D37" t="str">
            <v>VIRAL.CSQH</v>
          </cell>
          <cell r="E37" t="str">
            <v>Bộ phụ kiện cửa quay hất (Hopo)</v>
          </cell>
          <cell r="F37"/>
          <cell r="G37"/>
          <cell r="H37"/>
          <cell r="I37" t="str">
            <v>Bộ</v>
          </cell>
          <cell r="J37" t="str">
            <v>VIRAL.CSQH</v>
          </cell>
          <cell r="K37">
            <v>3080000</v>
          </cell>
          <cell r="L37"/>
          <cell r="M37" t="str">
            <v>CTA81.20.38RH5 (Hopo)</v>
          </cell>
          <cell r="N37" t="str">
            <v>Hopo</v>
          </cell>
          <cell r="O37" t="str">
            <v>VRE55, VRE65</v>
          </cell>
          <cell r="P37" t="str">
            <v>Skyline</v>
          </cell>
        </row>
        <row r="38">
          <cell r="D38" t="str">
            <v>VIRAL.CGC20.00.012</v>
          </cell>
          <cell r="E38" t="str">
            <v>Hộp chuyển động tay nắm</v>
          </cell>
          <cell r="F38"/>
          <cell r="G38"/>
          <cell r="H38"/>
          <cell r="I38" t="str">
            <v>Chiếc</v>
          </cell>
          <cell r="J38" t="str">
            <v>VIRAL.CGC20.00.012</v>
          </cell>
          <cell r="K38">
            <v>172480.00000000003</v>
          </cell>
          <cell r="L38"/>
          <cell r="M38" t="str">
            <v>CGC20.00.012 (Hopo)</v>
          </cell>
          <cell r="N38" t="str">
            <v>Hopo</v>
          </cell>
          <cell r="O38" t="str">
            <v>VRE55, VRE65</v>
          </cell>
          <cell r="P38" t="str">
            <v>Queen Việt</v>
          </cell>
        </row>
        <row r="39">
          <cell r="D39" t="str">
            <v>ASB2020021</v>
          </cell>
          <cell r="E39" t="str">
            <v>Chốt cánh phụ cửa 2 cánh (HOPO)</v>
          </cell>
          <cell r="F39"/>
          <cell r="G39"/>
          <cell r="H39"/>
          <cell r="I39" t="str">
            <v>Chiếc</v>
          </cell>
          <cell r="J39"/>
          <cell r="K39">
            <v>51744.000000000015</v>
          </cell>
          <cell r="L39"/>
          <cell r="M39" t="str">
            <v>Hopo</v>
          </cell>
          <cell r="N39" t="str">
            <v>Hopo</v>
          </cell>
          <cell r="O39" t="str">
            <v>VRE55, VRE65</v>
          </cell>
          <cell r="P39" t="str">
            <v>Skyline</v>
          </cell>
        </row>
        <row r="40">
          <cell r="D40" t="str">
            <v>ALSP2020022</v>
          </cell>
          <cell r="E40" t="str">
            <v>Vấu chốt cánh phụ (HOPO)</v>
          </cell>
          <cell r="F40"/>
          <cell r="G40"/>
          <cell r="H40"/>
          <cell r="I40" t="str">
            <v>Chiếc</v>
          </cell>
          <cell r="J40"/>
          <cell r="K40">
            <v>22176.000000000004</v>
          </cell>
          <cell r="L40"/>
          <cell r="M40" t="str">
            <v>Hopo</v>
          </cell>
          <cell r="N40" t="str">
            <v>Hopo</v>
          </cell>
          <cell r="O40" t="str">
            <v>VRE55, VRE65</v>
          </cell>
          <cell r="P40" t="str">
            <v>Skyline</v>
          </cell>
        </row>
        <row r="41">
          <cell r="D41" t="str">
            <v>VIRAL.CVRE</v>
          </cell>
          <cell r="E41" t="str">
            <v>Chốt cánh phụ cửa 2 cánh VRE)</v>
          </cell>
          <cell r="F41"/>
          <cell r="G41"/>
          <cell r="H41"/>
          <cell r="I41" t="str">
            <v>Chiếc</v>
          </cell>
          <cell r="J41"/>
          <cell r="K41">
            <v>24640.000000000004</v>
          </cell>
          <cell r="L41"/>
          <cell r="M41"/>
          <cell r="N41" t="str">
            <v>Hopo</v>
          </cell>
          <cell r="O41" t="str">
            <v>VRE55, VRE65</v>
          </cell>
          <cell r="P41" t="str">
            <v>Skyline</v>
          </cell>
        </row>
        <row r="42">
          <cell r="D42" t="str">
            <v>VIRAL.KEVILA1</v>
          </cell>
          <cell r="E42" t="str">
            <v>Bộ chuyển động chốt cánh phụ (kiểu 1)</v>
          </cell>
          <cell r="F42"/>
          <cell r="G42"/>
          <cell r="H42"/>
          <cell r="I42" t="str">
            <v>Chiếc</v>
          </cell>
          <cell r="J42" t="str">
            <v>VIRAL.KEVILA1</v>
          </cell>
          <cell r="K42">
            <v>67760.000000000015</v>
          </cell>
          <cell r="L42"/>
          <cell r="M42"/>
          <cell r="N42" t="str">
            <v>Kevila</v>
          </cell>
          <cell r="O42" t="str">
            <v>VRA55, VRA50</v>
          </cell>
          <cell r="Q42">
            <v>67.760000000000019</v>
          </cell>
        </row>
        <row r="43">
          <cell r="D43" t="str">
            <v>VIRAL.KEVILA1</v>
          </cell>
          <cell r="E43" t="str">
            <v>Bộ chuyển động chốt cánh phụ (kiểu 2)</v>
          </cell>
          <cell r="F43"/>
          <cell r="G43"/>
          <cell r="H43"/>
          <cell r="I43" t="str">
            <v>Chiếc</v>
          </cell>
          <cell r="J43" t="str">
            <v>VIRAL.KEVILA1</v>
          </cell>
          <cell r="K43">
            <v>67760.000000000015</v>
          </cell>
          <cell r="L43"/>
          <cell r="M43"/>
          <cell r="N43" t="str">
            <v>Kevila</v>
          </cell>
          <cell r="O43" t="str">
            <v>VRA55, VRA50</v>
          </cell>
        </row>
        <row r="44">
          <cell r="D44" t="str">
            <v>VIRAL.ZALY3</v>
          </cell>
          <cell r="E44" t="str">
            <v>Hố chốt cánh phụ (VRA)</v>
          </cell>
          <cell r="F44"/>
          <cell r="G44"/>
          <cell r="H44"/>
          <cell r="I44" t="str">
            <v>Chiếc</v>
          </cell>
          <cell r="J44" t="str">
            <v>VIRAL.ZALY3</v>
          </cell>
          <cell r="K44">
            <v>18480</v>
          </cell>
          <cell r="L44"/>
          <cell r="M44" t="str">
            <v>GQ</v>
          </cell>
          <cell r="N44" t="str">
            <v>Lộc Lan</v>
          </cell>
          <cell r="O44" t="str">
            <v>VRA55, VRA50</v>
          </cell>
          <cell r="Q44">
            <v>18.48</v>
          </cell>
        </row>
        <row r="45">
          <cell r="D45" t="str">
            <v>VIRAL.SKX01</v>
          </cell>
          <cell r="E45" t="str">
            <v>Hố chốt cánh phụ (VRE)</v>
          </cell>
          <cell r="F45"/>
          <cell r="G45"/>
          <cell r="H45"/>
          <cell r="I45" t="str">
            <v>Chiếc</v>
          </cell>
          <cell r="J45" t="str">
            <v>VIRAL.SKX01</v>
          </cell>
          <cell r="K45">
            <v>24640.000000000004</v>
          </cell>
          <cell r="L45"/>
          <cell r="M45"/>
          <cell r="N45" t="str">
            <v>Yến</v>
          </cell>
          <cell r="O45" t="str">
            <v>Hố chốt cánh phụ
VRE55, VRE65</v>
          </cell>
        </row>
        <row r="46">
          <cell r="D46" t="str">
            <v>VIRAL.TDVR2</v>
          </cell>
          <cell r="E46" t="str">
            <v>Tay nắm cửa đi (VR2)</v>
          </cell>
          <cell r="F46"/>
          <cell r="G46"/>
          <cell r="H46"/>
          <cell r="I46" t="str">
            <v>Bộ</v>
          </cell>
          <cell r="J46" t="str">
            <v>VIRAL.TDVR3</v>
          </cell>
          <cell r="K46">
            <v>443520.00000000012</v>
          </cell>
          <cell r="L46"/>
          <cell r="M46"/>
          <cell r="N46" t="str">
            <v>Sigico</v>
          </cell>
          <cell r="O46" t="str">
            <v>Cửa đi</v>
          </cell>
          <cell r="P46" t="str">
            <v>Skyline</v>
          </cell>
        </row>
        <row r="47">
          <cell r="D47" t="str">
            <v>VIRAL.TDVR2</v>
          </cell>
          <cell r="E47" t="str">
            <v>Tay nắm cửa đi (VR2)</v>
          </cell>
          <cell r="F47"/>
          <cell r="G47"/>
          <cell r="H47"/>
          <cell r="I47" t="str">
            <v>Bộ</v>
          </cell>
          <cell r="J47" t="str">
            <v>VIRAL.TDVR3</v>
          </cell>
          <cell r="K47">
            <v>443520.00000000012</v>
          </cell>
          <cell r="L47"/>
          <cell r="M47"/>
          <cell r="N47" t="str">
            <v>Sigico</v>
          </cell>
          <cell r="O47" t="str">
            <v>Cửa đi</v>
          </cell>
          <cell r="P47" t="str">
            <v>Skyline</v>
          </cell>
        </row>
        <row r="48">
          <cell r="D48" t="str">
            <v>VIRAL.TVRA50</v>
          </cell>
          <cell r="E48" t="str">
            <v>Trục &amp; ốc vít (VRA50)</v>
          </cell>
          <cell r="F48"/>
          <cell r="G48"/>
          <cell r="H48"/>
          <cell r="I48" t="str">
            <v>Bộ</v>
          </cell>
          <cell r="J48" t="str">
            <v>VIRAL.TVRA50</v>
          </cell>
          <cell r="K48">
            <v>12320.000000000002</v>
          </cell>
          <cell r="L48"/>
          <cell r="M48"/>
          <cell r="N48" t="str">
            <v>Bình</v>
          </cell>
        </row>
        <row r="49">
          <cell r="D49" t="str">
            <v>VIRAL.TVRA55</v>
          </cell>
          <cell r="E49" t="str">
            <v>Trục &amp; ốc vít (VRA55)</v>
          </cell>
          <cell r="F49"/>
          <cell r="G49"/>
          <cell r="H49"/>
          <cell r="I49" t="str">
            <v>Bộ</v>
          </cell>
          <cell r="J49" t="str">
            <v>VIRAL.TVRA55</v>
          </cell>
          <cell r="K49">
            <v>14784.000000000004</v>
          </cell>
          <cell r="L49"/>
          <cell r="M49"/>
          <cell r="N49" t="str">
            <v>Bình</v>
          </cell>
        </row>
        <row r="50">
          <cell r="D50" t="str">
            <v>VIRAL.TVRE55</v>
          </cell>
          <cell r="E50" t="str">
            <v>Trục &amp; ốc vít (VRE55)</v>
          </cell>
          <cell r="F50"/>
          <cell r="G50"/>
          <cell r="H50"/>
          <cell r="I50" t="str">
            <v>Bộ</v>
          </cell>
          <cell r="J50" t="str">
            <v>VIRAL.TVRE55</v>
          </cell>
          <cell r="K50">
            <v>17248.000000000004</v>
          </cell>
          <cell r="L50"/>
          <cell r="M50"/>
          <cell r="N50" t="str">
            <v>Bình</v>
          </cell>
        </row>
        <row r="51">
          <cell r="D51" t="str">
            <v>VIRAL.TVRE65</v>
          </cell>
          <cell r="E51" t="str">
            <v>Trục &amp; ốc vít (VRE65)</v>
          </cell>
          <cell r="F51"/>
          <cell r="G51"/>
          <cell r="H51"/>
          <cell r="I51" t="str">
            <v>Bộ</v>
          </cell>
          <cell r="J51" t="str">
            <v>VIRAL.TVRE65</v>
          </cell>
          <cell r="K51">
            <v>19712.000000000004</v>
          </cell>
          <cell r="L51"/>
          <cell r="M51"/>
          <cell r="N51" t="str">
            <v>Bình</v>
          </cell>
        </row>
        <row r="52">
          <cell r="D52" t="str">
            <v>VIRAL.LC47.5/32.5</v>
          </cell>
          <cell r="E52" t="str">
            <v>Lõi khóa mở ngoài VRA55
32.5/47.5</v>
          </cell>
          <cell r="F52"/>
          <cell r="G52"/>
          <cell r="H52"/>
          <cell r="I52" t="str">
            <v>Chiếc</v>
          </cell>
          <cell r="J52" t="str">
            <v>VIRAL.LC47.5/32.5</v>
          </cell>
          <cell r="K52">
            <v>236544</v>
          </cell>
          <cell r="L52"/>
          <cell r="M52"/>
          <cell r="N52" t="str">
            <v>Skyline</v>
          </cell>
          <cell r="O52" t="str">
            <v>VRA55, VRA50</v>
          </cell>
        </row>
        <row r="53">
          <cell r="D53" t="str">
            <v>VIRAL.LC32.5/47.5</v>
          </cell>
          <cell r="E53" t="str">
            <v>Lõi khóa mở trong VRA55
47.5/32.5</v>
          </cell>
          <cell r="F53"/>
          <cell r="G53"/>
          <cell r="H53"/>
          <cell r="I53" t="str">
            <v>Chiếc</v>
          </cell>
          <cell r="J53" t="str">
            <v>VIRAL.LC32.5/47.5</v>
          </cell>
          <cell r="K53">
            <v>236544</v>
          </cell>
          <cell r="L53"/>
          <cell r="M53"/>
          <cell r="N53" t="str">
            <v>Skyline</v>
          </cell>
          <cell r="O53" t="str">
            <v>VRA55, VRA50</v>
          </cell>
        </row>
        <row r="54">
          <cell r="D54" t="str">
            <v>VIRAL.LC32.5/47.5-2C</v>
          </cell>
          <cell r="E54" t="str">
            <v>Lõi khóa hai đầu chìa VRA55
32.5/47.5</v>
          </cell>
          <cell r="F54"/>
          <cell r="G54"/>
          <cell r="H54"/>
          <cell r="I54" t="str">
            <v>Chiếc</v>
          </cell>
          <cell r="J54" t="str">
            <v>VIRAL.LC32.5/47.5-2C</v>
          </cell>
          <cell r="K54">
            <v>227920</v>
          </cell>
          <cell r="L54"/>
          <cell r="M54"/>
          <cell r="N54" t="str">
            <v>Skyline</v>
          </cell>
          <cell r="O54" t="str">
            <v>VRA55, VRA50</v>
          </cell>
        </row>
        <row r="55">
          <cell r="D55" t="str">
            <v>VIRAL.LC30/70</v>
          </cell>
          <cell r="E55" t="str">
            <v>Lõi khóa mở ngoài hệ VRE65 
32.5/70</v>
          </cell>
          <cell r="F55"/>
          <cell r="G55"/>
          <cell r="H55"/>
          <cell r="I55" t="str">
            <v>Chiếc</v>
          </cell>
          <cell r="J55" t="str">
            <v>VIRAL.LC30/70</v>
          </cell>
          <cell r="K55">
            <v>237416.66666666628</v>
          </cell>
          <cell r="L55"/>
          <cell r="M55"/>
          <cell r="N55" t="str">
            <v>Sigico</v>
          </cell>
          <cell r="O55" t="str">
            <v>VRE65</v>
          </cell>
          <cell r="P55" t="str">
            <v>Skyline</v>
          </cell>
        </row>
        <row r="56">
          <cell r="D56" t="str">
            <v>VIRAL.LC70/30</v>
          </cell>
          <cell r="E56" t="str">
            <v>Lõi khóa mở trong hệ VRE65 
70/32.5</v>
          </cell>
          <cell r="F56"/>
          <cell r="G56"/>
          <cell r="H56"/>
          <cell r="I56" t="str">
            <v>Chiếc</v>
          </cell>
          <cell r="J56" t="str">
            <v>VIRAL.LC70/30</v>
          </cell>
          <cell r="K56">
            <v>237416.66666666628</v>
          </cell>
          <cell r="L56"/>
          <cell r="M56"/>
          <cell r="N56" t="str">
            <v>Sigico</v>
          </cell>
          <cell r="O56" t="str">
            <v>VRE65</v>
          </cell>
          <cell r="P56" t="str">
            <v>Skyline</v>
          </cell>
        </row>
        <row r="57">
          <cell r="D57" t="str">
            <v>VIRAL.LC30/70-2C</v>
          </cell>
          <cell r="E57" t="str">
            <v>Lõi khóa hai đầu chìa hệ VRE65 
70/32.5</v>
          </cell>
          <cell r="F57"/>
          <cell r="G57"/>
          <cell r="H57"/>
          <cell r="I57" t="str">
            <v>Chiếc</v>
          </cell>
          <cell r="J57" t="str">
            <v>VIRAL.LC30/70-2C</v>
          </cell>
          <cell r="K57">
            <v>218166.66666666628</v>
          </cell>
          <cell r="L57"/>
          <cell r="M57"/>
          <cell r="N57" t="str">
            <v>Sigico</v>
          </cell>
          <cell r="O57" t="str">
            <v>VRE65</v>
          </cell>
          <cell r="P57" t="str">
            <v>Skyline</v>
          </cell>
        </row>
        <row r="58">
          <cell r="D58" t="str">
            <v>VIRAL.LC30/60</v>
          </cell>
          <cell r="E58" t="str">
            <v>Lõi khóa mở ngoài hệ VRE655
60/32.5</v>
          </cell>
          <cell r="F58"/>
          <cell r="G58"/>
          <cell r="H58"/>
          <cell r="I58" t="str">
            <v>Chiếc</v>
          </cell>
          <cell r="J58" t="str">
            <v>VIRAL.LC30/60</v>
          </cell>
          <cell r="K58">
            <v>221375.00000000006</v>
          </cell>
          <cell r="L58"/>
          <cell r="M58"/>
          <cell r="N58" t="str">
            <v>Sigico</v>
          </cell>
          <cell r="O58" t="str">
            <v>VRE55</v>
          </cell>
          <cell r="P58" t="str">
            <v>Skyline</v>
          </cell>
        </row>
        <row r="59">
          <cell r="D59" t="str">
            <v>VIRAL.LC60/30</v>
          </cell>
          <cell r="E59" t="str">
            <v>Lõi khóa mở trong hệ VRE655
32.5/60</v>
          </cell>
          <cell r="F59"/>
          <cell r="G59"/>
          <cell r="H59"/>
          <cell r="I59" t="str">
            <v>Chiếc</v>
          </cell>
          <cell r="J59" t="str">
            <v>VIRAL.LC60/30</v>
          </cell>
          <cell r="K59">
            <v>221375.00000000006</v>
          </cell>
          <cell r="L59"/>
          <cell r="M59"/>
          <cell r="N59" t="str">
            <v>Sigico</v>
          </cell>
          <cell r="O59" t="str">
            <v>VRE55</v>
          </cell>
          <cell r="P59" t="str">
            <v>Skyline</v>
          </cell>
        </row>
        <row r="60">
          <cell r="D60" t="str">
            <v>VIRAL.LC30/60-2C</v>
          </cell>
          <cell r="E60" t="str">
            <v>Lõi khóa hai đầu chìa hệ VRE655
60/32.5</v>
          </cell>
          <cell r="F60"/>
          <cell r="G60"/>
          <cell r="H60"/>
          <cell r="I60" t="str">
            <v>Chiếc</v>
          </cell>
          <cell r="J60" t="str">
            <v>VIRAL.LC30/60-2C</v>
          </cell>
          <cell r="K60">
            <v>202125.00000000006</v>
          </cell>
          <cell r="L60"/>
          <cell r="M60"/>
          <cell r="N60" t="str">
            <v>Sigico</v>
          </cell>
          <cell r="O60" t="str">
            <v>VRE55</v>
          </cell>
          <cell r="P60" t="str">
            <v>Skyline</v>
          </cell>
        </row>
        <row r="61">
          <cell r="D61" t="str">
            <v>VIRAL.TKD8530</v>
          </cell>
          <cell r="E61" t="str">
            <v xml:space="preserve">Thân khóa đơn điểm 85/30 (VRA) </v>
          </cell>
          <cell r="F61"/>
          <cell r="G61"/>
          <cell r="H61"/>
          <cell r="I61" t="str">
            <v>Chiếc</v>
          </cell>
          <cell r="J61" t="str">
            <v>VIRAL.TKD8530</v>
          </cell>
          <cell r="K61">
            <v>234080.00000000006</v>
          </cell>
          <cell r="L61"/>
          <cell r="M61"/>
          <cell r="N61" t="str">
            <v>Skyline</v>
          </cell>
          <cell r="O61" t="str">
            <v>VRA55, VRA50</v>
          </cell>
        </row>
        <row r="62">
          <cell r="D62" t="str">
            <v>VIRAL.TKD8535</v>
          </cell>
          <cell r="E62" t="str">
            <v>Thân khóa đơn điểm 85/35 (VRE)</v>
          </cell>
          <cell r="F62"/>
          <cell r="G62"/>
          <cell r="H62"/>
          <cell r="I62" t="str">
            <v>Chiếc</v>
          </cell>
          <cell r="J62" t="str">
            <v>VIRAL.TKD8535</v>
          </cell>
          <cell r="K62">
            <v>221760.00000000006</v>
          </cell>
          <cell r="L62"/>
          <cell r="M62"/>
          <cell r="N62" t="str">
            <v>Skyline</v>
          </cell>
          <cell r="O62" t="str">
            <v>VRE55, VRE65</v>
          </cell>
        </row>
        <row r="63">
          <cell r="D63" t="str">
            <v>VIRAL.TKDA8530</v>
          </cell>
          <cell r="E63" t="str">
            <v>Thân khóa đa điểm 85/30 (VRA)</v>
          </cell>
          <cell r="F63"/>
          <cell r="G63"/>
          <cell r="H63"/>
          <cell r="I63" t="str">
            <v>Chiếc</v>
          </cell>
          <cell r="J63" t="str">
            <v>VIRAL.TKDA8530</v>
          </cell>
          <cell r="K63">
            <v>248864.00000000006</v>
          </cell>
          <cell r="L63"/>
          <cell r="M63"/>
          <cell r="N63" t="str">
            <v>Skyline</v>
          </cell>
          <cell r="O63" t="str">
            <v>VRA55, VRA50</v>
          </cell>
        </row>
        <row r="64">
          <cell r="D64" t="str">
            <v>VIRAL.TKDA8535</v>
          </cell>
          <cell r="E64" t="str">
            <v>Thân khóa đa điểm 85/35 (VRE)</v>
          </cell>
          <cell r="F64"/>
          <cell r="G64"/>
          <cell r="H64"/>
          <cell r="I64" t="str">
            <v>Chiếc</v>
          </cell>
          <cell r="J64" t="str">
            <v>VIRAL.TKDA8535</v>
          </cell>
          <cell r="K64">
            <v>221760.00000000006</v>
          </cell>
          <cell r="L64"/>
          <cell r="M64"/>
          <cell r="N64" t="str">
            <v>Skyline</v>
          </cell>
          <cell r="O64" t="str">
            <v>VRE55, VRE65</v>
          </cell>
        </row>
        <row r="65">
          <cell r="D65" t="str">
            <v>VIRAL.DLF09</v>
          </cell>
          <cell r="E65" t="str">
            <v>Miệng đón khóa (cửa đi 1 cánh) - VRA</v>
          </cell>
          <cell r="F65"/>
          <cell r="G65"/>
          <cell r="H65"/>
          <cell r="I65" t="str">
            <v>Chiếc</v>
          </cell>
          <cell r="J65" t="str">
            <v>VIRAL.DLF09</v>
          </cell>
          <cell r="K65">
            <v>22176.000000000004</v>
          </cell>
          <cell r="L65"/>
          <cell r="M65"/>
          <cell r="P65"/>
          <cell r="Q65"/>
        </row>
        <row r="66">
          <cell r="D66" t="str">
            <v>VIRAL.DLF19</v>
          </cell>
          <cell r="E66" t="str">
            <v>Miệng đón khóa (cửa đi 2 cánh) - Chung với VRE</v>
          </cell>
          <cell r="F66"/>
          <cell r="G66"/>
          <cell r="H66"/>
          <cell r="I66" t="str">
            <v>Chiếc</v>
          </cell>
          <cell r="J66" t="str">
            <v>VIRAL.DLF19</v>
          </cell>
          <cell r="K66">
            <v>18480</v>
          </cell>
          <cell r="L66"/>
          <cell r="M66"/>
          <cell r="P66"/>
          <cell r="Q66"/>
        </row>
        <row r="67">
          <cell r="D67" t="str">
            <v>VIRAL.VITO6</v>
          </cell>
          <cell r="E67" t="str">
            <v>Miệng đón khóa điều chỉnh (cửa đi 1 cánh) - VRA</v>
          </cell>
          <cell r="F67"/>
          <cell r="G67"/>
          <cell r="H67"/>
          <cell r="I67"/>
          <cell r="J67" t="str">
            <v>VIRAL.VITO6</v>
          </cell>
          <cell r="K67">
            <v>0</v>
          </cell>
          <cell r="L67"/>
          <cell r="M67"/>
          <cell r="N67" t="str">
            <v>Yến</v>
          </cell>
          <cell r="O67" t="str">
            <v>Cửa 1 cánh</v>
          </cell>
          <cell r="P67" t="str">
            <v>Nghiên cứu với Kim, Ok báo lại</v>
          </cell>
        </row>
        <row r="68">
          <cell r="D68" t="str">
            <v>VIRAL.VITO7</v>
          </cell>
          <cell r="E68" t="str">
            <v>Miệng đón khóa điều chỉnh (cửa đi 2 cánh) - Chung với VRE</v>
          </cell>
          <cell r="F68"/>
          <cell r="G68"/>
          <cell r="H68"/>
          <cell r="I68"/>
          <cell r="J68" t="str">
            <v>VIRAL.VITO7</v>
          </cell>
          <cell r="K68">
            <v>44352.000000000007</v>
          </cell>
          <cell r="L68"/>
          <cell r="M68"/>
          <cell r="N68" t="str">
            <v>Yến</v>
          </cell>
          <cell r="O68" t="str">
            <v>Cửa 2 cánh VRA
VRE</v>
          </cell>
          <cell r="P68" t="str">
            <v>Chốt dùng loại này</v>
          </cell>
        </row>
        <row r="69">
          <cell r="D69" t="str">
            <v>VR.BLCCXF</v>
          </cell>
          <cell r="E69" t="str">
            <v>Bản lề cánh - cánh (VRA)</v>
          </cell>
          <cell r="F69"/>
          <cell r="G69"/>
          <cell r="H69"/>
          <cell r="I69" t="str">
            <v>Chiếc</v>
          </cell>
          <cell r="J69" t="str">
            <v>VR.BLCCXF</v>
          </cell>
          <cell r="K69">
            <v>154000.00000000003</v>
          </cell>
          <cell r="L69"/>
          <cell r="M69"/>
          <cell r="N69" t="str">
            <v>ATC</v>
          </cell>
          <cell r="P69" t="str">
            <v>Bỏ</v>
          </cell>
        </row>
        <row r="70">
          <cell r="D70" t="str">
            <v>VIRAL.BLKCXF</v>
          </cell>
          <cell r="E70" t="str">
            <v>Bản lề khung - cánh (VRA) - trái</v>
          </cell>
          <cell r="F70"/>
          <cell r="G70"/>
          <cell r="H70"/>
          <cell r="I70" t="str">
            <v>Chiếc</v>
          </cell>
          <cell r="J70" t="str">
            <v>VIRAL.BLKCXF</v>
          </cell>
          <cell r="K70">
            <v>147840</v>
          </cell>
          <cell r="L70"/>
          <cell r="M70"/>
          <cell r="N70" t="str">
            <v>ATC</v>
          </cell>
          <cell r="P70" t="str">
            <v>Bỏ</v>
          </cell>
        </row>
        <row r="71">
          <cell r="D71" t="str">
            <v>VIRAL.BLKCXF</v>
          </cell>
          <cell r="E71" t="str">
            <v>Bản lề khung - cánh (VRA) - phải</v>
          </cell>
          <cell r="F71"/>
          <cell r="G71"/>
          <cell r="H71"/>
          <cell r="I71" t="str">
            <v>Chiếc</v>
          </cell>
          <cell r="J71" t="str">
            <v>VIRAL.BLKCXF</v>
          </cell>
          <cell r="K71">
            <v>147840</v>
          </cell>
          <cell r="L71"/>
          <cell r="M71"/>
          <cell r="N71" t="str">
            <v>ATC</v>
          </cell>
          <cell r="P71" t="str">
            <v>Bỏ</v>
          </cell>
        </row>
        <row r="72">
          <cell r="D72" t="str">
            <v>VIRAL.CC03-L</v>
          </cell>
          <cell r="E72" t="str">
            <v>Bản lề cánh - cánh (VRA) - L</v>
          </cell>
          <cell r="F72"/>
          <cell r="G72"/>
          <cell r="H72"/>
          <cell r="I72" t="str">
            <v>Chiếc</v>
          </cell>
          <cell r="J72" t="str">
            <v>VIRAL.CC03-L</v>
          </cell>
          <cell r="K72">
            <v>213136.00000000006</v>
          </cell>
          <cell r="L72"/>
          <cell r="M72"/>
          <cell r="N72" t="str">
            <v>Skyline</v>
          </cell>
          <cell r="O72" t="str">
            <v>Cánh - cánh</v>
          </cell>
          <cell r="P72" t="str">
            <v>Đặt bổ xung</v>
          </cell>
        </row>
        <row r="73">
          <cell r="D73" t="str">
            <v>VIRAL.CC03-R</v>
          </cell>
          <cell r="E73" t="str">
            <v>Bản lề cánh - cánh (VRA) -R</v>
          </cell>
          <cell r="F73"/>
          <cell r="G73"/>
          <cell r="H73"/>
          <cell r="I73" t="str">
            <v>Chiếc</v>
          </cell>
          <cell r="J73" t="str">
            <v>VIRAL.CC03-R</v>
          </cell>
          <cell r="K73">
            <v>213136.00000000006</v>
          </cell>
          <cell r="L73"/>
          <cell r="M73"/>
          <cell r="N73" t="str">
            <v>Skyline</v>
          </cell>
          <cell r="O73" t="str">
            <v>Cánh - cánh</v>
          </cell>
          <cell r="P73" t="str">
            <v>Đặt bổ xung</v>
          </cell>
        </row>
        <row r="74">
          <cell r="D74" t="str">
            <v>VIRAL.SKH03-L</v>
          </cell>
          <cell r="E74" t="str">
            <v>Bản lề khung - cánh (VRA) - L</v>
          </cell>
          <cell r="F74"/>
          <cell r="G74"/>
          <cell r="H74"/>
          <cell r="I74" t="str">
            <v>Chiếc</v>
          </cell>
          <cell r="J74" t="str">
            <v>VIRAL.SKH03-L</v>
          </cell>
          <cell r="K74">
            <v>188496.00000000003</v>
          </cell>
          <cell r="L74"/>
          <cell r="M74"/>
          <cell r="N74" t="str">
            <v>Skyline</v>
          </cell>
          <cell r="O74" t="str">
            <v>VRA55</v>
          </cell>
        </row>
        <row r="75">
          <cell r="D75" t="str">
            <v>VIRAL.SKH03-R</v>
          </cell>
          <cell r="E75" t="str">
            <v>Bản lề khung - cánh (VRA) - R</v>
          </cell>
          <cell r="F75"/>
          <cell r="G75"/>
          <cell r="H75"/>
          <cell r="I75" t="str">
            <v>Chiếc</v>
          </cell>
          <cell r="J75" t="str">
            <v>VIRAL.SKH03-R</v>
          </cell>
          <cell r="K75">
            <v>188496.00000000003</v>
          </cell>
          <cell r="L75"/>
          <cell r="M75"/>
          <cell r="N75" t="str">
            <v>Skyline</v>
          </cell>
          <cell r="O75" t="str">
            <v>VRA55</v>
          </cell>
        </row>
        <row r="76">
          <cell r="D76" t="str">
            <v>VIRAL.VITO4</v>
          </cell>
          <cell r="E76" t="str">
            <v>Bản lề khung - cánh (VRE) - phải</v>
          </cell>
          <cell r="F76"/>
          <cell r="G76"/>
          <cell r="H76"/>
          <cell r="I76" t="str">
            <v>Chiếc</v>
          </cell>
          <cell r="J76" t="str">
            <v>VIRAL.VITO4</v>
          </cell>
          <cell r="K76">
            <v>221760.00000000006</v>
          </cell>
          <cell r="L76"/>
          <cell r="M76"/>
          <cell r="N76" t="str">
            <v>Yến</v>
          </cell>
          <cell r="O76" t="str">
            <v>VRE55, VRE65</v>
          </cell>
        </row>
        <row r="77">
          <cell r="D77" t="str">
            <v>VIRAL.VITO3</v>
          </cell>
          <cell r="E77" t="str">
            <v>Bản lề khung - cánh (VRE) - trái</v>
          </cell>
          <cell r="F77"/>
          <cell r="G77"/>
          <cell r="H77"/>
          <cell r="I77" t="str">
            <v>Chiếc</v>
          </cell>
          <cell r="J77" t="str">
            <v>VIRAL.VITO3</v>
          </cell>
          <cell r="K77">
            <v>221760.00000000006</v>
          </cell>
          <cell r="L77"/>
          <cell r="M77"/>
          <cell r="N77" t="str">
            <v>Yến</v>
          </cell>
          <cell r="O77" t="str">
            <v>VRE55, VRE65</v>
          </cell>
        </row>
        <row r="78">
          <cell r="D78" t="str">
            <v>VIRAL.SHOPE1</v>
          </cell>
          <cell r="E78" t="str">
            <v>Hố chốt âm sàn (Đồng) - phi 10</v>
          </cell>
          <cell r="F78"/>
          <cell r="G78"/>
          <cell r="H78"/>
          <cell r="I78" t="str">
            <v>Chiếc</v>
          </cell>
          <cell r="J78" t="str">
            <v>VIRAL.SHOPE1</v>
          </cell>
          <cell r="K78">
            <v>18480</v>
          </cell>
          <cell r="L78"/>
          <cell r="M78"/>
          <cell r="N78" t="str">
            <v>Shopee</v>
          </cell>
        </row>
        <row r="79">
          <cell r="D79" t="str">
            <v>VIRAL.SHOPE2</v>
          </cell>
          <cell r="E79" t="str">
            <v>Hố chốt âm sàn (Đồng) - phi 13</v>
          </cell>
          <cell r="F79"/>
          <cell r="G79"/>
          <cell r="H79"/>
          <cell r="I79" t="str">
            <v>Chiếc</v>
          </cell>
          <cell r="J79" t="str">
            <v>VIRAL.SHOPE2</v>
          </cell>
          <cell r="K79">
            <v>49280.000000000007</v>
          </cell>
          <cell r="L79"/>
          <cell r="M79"/>
          <cell r="N79" t="str">
            <v>Shopee</v>
          </cell>
        </row>
        <row r="80">
          <cell r="D80" t="str">
            <v>VIRAL.GE761007</v>
          </cell>
          <cell r="E80" t="str">
            <v>Đầu bịt ( Ốp đáy) - trái</v>
          </cell>
          <cell r="F80"/>
          <cell r="G80"/>
          <cell r="H80"/>
          <cell r="I80" t="str">
            <v>Chiếc</v>
          </cell>
          <cell r="J80" t="str">
            <v>VIRAL.GE761007</v>
          </cell>
          <cell r="K80">
            <v>2464.0000000000005</v>
          </cell>
          <cell r="L80"/>
          <cell r="M80" t="str">
            <v>Hopo</v>
          </cell>
          <cell r="N80" t="str">
            <v>Hopo</v>
          </cell>
          <cell r="O80" t="str">
            <v>VRE65</v>
          </cell>
          <cell r="P80" t="str">
            <v>Mạnh Quy</v>
          </cell>
          <cell r="Q80">
            <v>2.4640000000000004</v>
          </cell>
        </row>
        <row r="81">
          <cell r="D81" t="str">
            <v>VIRAL.GE761008</v>
          </cell>
          <cell r="E81" t="str">
            <v>Đầu bịt ( Ốp đáy) - phải</v>
          </cell>
          <cell r="F81"/>
          <cell r="G81"/>
          <cell r="H81"/>
          <cell r="I81" t="str">
            <v>Chiếc</v>
          </cell>
          <cell r="J81" t="str">
            <v>VIRAL.GE761008</v>
          </cell>
          <cell r="K81">
            <v>2464.0000000000005</v>
          </cell>
          <cell r="L81"/>
          <cell r="M81" t="str">
            <v>Hopo</v>
          </cell>
          <cell r="N81" t="str">
            <v>Hopo</v>
          </cell>
          <cell r="O81" t="str">
            <v>VRE65</v>
          </cell>
          <cell r="P81" t="str">
            <v>Mạnh Quy</v>
          </cell>
        </row>
        <row r="82">
          <cell r="D82" t="str">
            <v>VIRAL.GE761001-L</v>
          </cell>
          <cell r="E82" t="str">
            <v>Đầu nối bậc cửa L 
(bịt thanh ngưỡng cửa)</v>
          </cell>
          <cell r="F82"/>
          <cell r="G82"/>
          <cell r="H82"/>
          <cell r="I82" t="str">
            <v>Chiếc</v>
          </cell>
          <cell r="J82" t="str">
            <v>VIRAL.GE761001-L</v>
          </cell>
          <cell r="K82">
            <v>20697.600000000002</v>
          </cell>
          <cell r="L82"/>
          <cell r="M82" t="str">
            <v>Hopo</v>
          </cell>
          <cell r="N82" t="str">
            <v>Hopo</v>
          </cell>
          <cell r="O82" t="str">
            <v>VRE65</v>
          </cell>
          <cell r="P82" t="str">
            <v>Mạnh Quy</v>
          </cell>
          <cell r="Q82">
            <v>206.97600000000003</v>
          </cell>
        </row>
        <row r="83">
          <cell r="D83" t="str">
            <v>VIRAL.GE761002-R</v>
          </cell>
          <cell r="E83" t="str">
            <v>Đầu nối bậc cửa R
(bịt thanh ngưỡng cửa)</v>
          </cell>
          <cell r="F83"/>
          <cell r="G83"/>
          <cell r="H83"/>
          <cell r="I83" t="str">
            <v>Chiếc</v>
          </cell>
          <cell r="J83" t="str">
            <v>VIRAL.GE761002-R</v>
          </cell>
          <cell r="K83">
            <v>20697.600000000002</v>
          </cell>
          <cell r="L83"/>
          <cell r="M83" t="str">
            <v>Hopo</v>
          </cell>
          <cell r="N83" t="str">
            <v>Hopo</v>
          </cell>
          <cell r="O83" t="str">
            <v>VRE65</v>
          </cell>
          <cell r="P83" t="str">
            <v>Mạnh Quy</v>
          </cell>
        </row>
        <row r="84">
          <cell r="D84" t="str">
            <v>VIRAL.GE761011 L</v>
          </cell>
          <cell r="E84" t="str">
            <v>Đầu bịt đố động 1 - L</v>
          </cell>
          <cell r="F84"/>
          <cell r="G84"/>
          <cell r="H84"/>
          <cell r="I84" t="str">
            <v>Chiếc</v>
          </cell>
          <cell r="J84" t="str">
            <v>VIRAL.GE761011 L</v>
          </cell>
          <cell r="K84">
            <v>5914</v>
          </cell>
          <cell r="L84"/>
          <cell r="M84" t="str">
            <v>Hopo</v>
          </cell>
          <cell r="N84" t="str">
            <v>Hopo</v>
          </cell>
          <cell r="O84" t="str">
            <v>VRE65</v>
          </cell>
          <cell r="P84" t="str">
            <v>Mạnh Quy</v>
          </cell>
          <cell r="Q84">
            <v>5913.6</v>
          </cell>
        </row>
        <row r="85">
          <cell r="D85" t="str">
            <v>VIRAL.GE761012 R</v>
          </cell>
          <cell r="E85" t="str">
            <v>Đầu bịt đố động 1 - R</v>
          </cell>
          <cell r="F85"/>
          <cell r="G85"/>
          <cell r="H85"/>
          <cell r="I85" t="str">
            <v>Chiếc</v>
          </cell>
          <cell r="J85" t="str">
            <v>VIRAL.GE761012 R</v>
          </cell>
          <cell r="K85">
            <v>5914</v>
          </cell>
          <cell r="L85"/>
          <cell r="M85" t="str">
            <v>Hopo</v>
          </cell>
          <cell r="N85" t="str">
            <v>Hopo</v>
          </cell>
          <cell r="O85" t="str">
            <v>VRE65</v>
          </cell>
          <cell r="P85" t="str">
            <v>Mạnh Quy</v>
          </cell>
        </row>
        <row r="86">
          <cell r="D86" t="str">
            <v>VIRAL.GE761013 L</v>
          </cell>
          <cell r="E86" t="str">
            <v>Đầu bịt đố động 2 - L</v>
          </cell>
          <cell r="F86"/>
          <cell r="G86"/>
          <cell r="H86"/>
          <cell r="I86" t="str">
            <v>Chiếc</v>
          </cell>
          <cell r="J86" t="str">
            <v>VIRAL.GE761013 L</v>
          </cell>
          <cell r="K86">
            <v>8377.6</v>
          </cell>
          <cell r="L86"/>
          <cell r="M86" t="str">
            <v>Hopo</v>
          </cell>
          <cell r="N86" t="str">
            <v>Hopo</v>
          </cell>
          <cell r="O86" t="str">
            <v>VRE65</v>
          </cell>
          <cell r="P86" t="str">
            <v>Mạnh Quy</v>
          </cell>
          <cell r="Q86">
            <v>8377.6000000000022</v>
          </cell>
        </row>
        <row r="87">
          <cell r="D87" t="str">
            <v>VIRAL.GE761014 R</v>
          </cell>
          <cell r="E87" t="str">
            <v>Đầu bịt đố động 2 - R</v>
          </cell>
          <cell r="F87"/>
          <cell r="G87"/>
          <cell r="H87"/>
          <cell r="I87" t="str">
            <v>Chiếc</v>
          </cell>
          <cell r="J87" t="str">
            <v>VIRAL.GE761014 R</v>
          </cell>
          <cell r="K87">
            <v>8377.6000000000022</v>
          </cell>
          <cell r="L87"/>
          <cell r="M87" t="str">
            <v>Hopo</v>
          </cell>
          <cell r="N87" t="str">
            <v>Hopo</v>
          </cell>
          <cell r="O87" t="str">
            <v>VRE65</v>
          </cell>
          <cell r="P87" t="str">
            <v>Mạnh Quy</v>
          </cell>
        </row>
        <row r="88">
          <cell r="D88" t="str">
            <v>VIRAL.VRE55OD-L</v>
          </cell>
          <cell r="E88" t="str">
            <v>Đầu bịt ( Ốp đáy) VRE55 - L</v>
          </cell>
          <cell r="F88"/>
          <cell r="G88"/>
          <cell r="H88"/>
          <cell r="I88" t="str">
            <v>Chiếc</v>
          </cell>
          <cell r="J88" t="str">
            <v>VIRAL.VRE55OD-L</v>
          </cell>
          <cell r="K88">
            <v>6160.0000000000009</v>
          </cell>
          <cell r="L88">
            <v>3000</v>
          </cell>
          <cell r="M88"/>
          <cell r="N88" t="str">
            <v>Mạnh Quy</v>
          </cell>
          <cell r="O88" t="str">
            <v>VRE55</v>
          </cell>
          <cell r="P88"/>
        </row>
        <row r="89">
          <cell r="D89" t="str">
            <v>VIRAL.VRE55OD-R</v>
          </cell>
          <cell r="E89" t="str">
            <v>Đầu bịt ( Ốp đáy) VRE55 - R</v>
          </cell>
          <cell r="F89"/>
          <cell r="G89"/>
          <cell r="H89"/>
          <cell r="I89" t="str">
            <v>Chiếc</v>
          </cell>
          <cell r="J89" t="str">
            <v>VIRAL.VRE55OD-R</v>
          </cell>
          <cell r="K89">
            <v>6160.0000000000009</v>
          </cell>
          <cell r="L89">
            <v>3000</v>
          </cell>
          <cell r="M89"/>
          <cell r="N89" t="str">
            <v>Mạnh Quy</v>
          </cell>
          <cell r="O89" t="str">
            <v>VRE55</v>
          </cell>
        </row>
        <row r="90">
          <cell r="D90" t="str">
            <v>VIRAL.VRE55DD2-L</v>
          </cell>
          <cell r="E90" t="str">
            <v>Đầu bịt đố động VRE55.2 - L</v>
          </cell>
          <cell r="F90"/>
          <cell r="G90"/>
          <cell r="H90"/>
          <cell r="I90" t="str">
            <v>Chiếc</v>
          </cell>
          <cell r="J90" t="str">
            <v>VIRAL.VRE55DD2-L</v>
          </cell>
          <cell r="K90">
            <v>12320.000000000002</v>
          </cell>
          <cell r="L90"/>
          <cell r="M90"/>
          <cell r="N90" t="str">
            <v>Mạnh Quy</v>
          </cell>
          <cell r="O90" t="str">
            <v>VRE55</v>
          </cell>
        </row>
        <row r="91">
          <cell r="D91" t="str">
            <v>VIRAL.VRE55DD2-R</v>
          </cell>
          <cell r="E91" t="str">
            <v>Đầu bịt đố động VRE55.2 - R</v>
          </cell>
          <cell r="F91"/>
          <cell r="G91"/>
          <cell r="H91"/>
          <cell r="I91" t="str">
            <v>Chiếc</v>
          </cell>
          <cell r="J91" t="str">
            <v>VIRAL.VRE55DD2-R</v>
          </cell>
          <cell r="K91">
            <v>12320.000000000002</v>
          </cell>
          <cell r="L91"/>
          <cell r="M91"/>
          <cell r="N91" t="str">
            <v>Mạnh Quy</v>
          </cell>
          <cell r="O91" t="str">
            <v>VRE55</v>
          </cell>
        </row>
        <row r="92">
          <cell r="D92" t="str">
            <v>VIRAL.VRE55DD1-L</v>
          </cell>
          <cell r="E92" t="str">
            <v>Đầu bịt đố động VRE55.1 - L</v>
          </cell>
          <cell r="F92"/>
          <cell r="G92"/>
          <cell r="H92"/>
          <cell r="I92" t="str">
            <v>Chiếc</v>
          </cell>
          <cell r="J92" t="str">
            <v>VIRAL.VRE55DD1-L</v>
          </cell>
          <cell r="K92">
            <v>12320.000000000002</v>
          </cell>
          <cell r="L92"/>
          <cell r="M92"/>
          <cell r="N92" t="str">
            <v>Mạnh Quy</v>
          </cell>
          <cell r="O92" t="str">
            <v>VRE55</v>
          </cell>
        </row>
        <row r="93">
          <cell r="D93" t="str">
            <v>VIRAL.VRE55DD1-R</v>
          </cell>
          <cell r="E93" t="str">
            <v>Đầu bịt đố động VRE55.1 - R</v>
          </cell>
          <cell r="F93"/>
          <cell r="G93"/>
          <cell r="H93"/>
          <cell r="I93" t="str">
            <v>Chiếc</v>
          </cell>
          <cell r="J93" t="str">
            <v>VIRAL.VRE55DD1-R</v>
          </cell>
          <cell r="K93">
            <v>12320.000000000002</v>
          </cell>
          <cell r="L93"/>
          <cell r="M93"/>
          <cell r="N93" t="str">
            <v>Mạnh Quy</v>
          </cell>
          <cell r="O93" t="str">
            <v>VRE55</v>
          </cell>
        </row>
        <row r="94">
          <cell r="D94" t="str">
            <v>VIRAL.SHL411.F03</v>
          </cell>
          <cell r="E94" t="str">
            <v>Chốt âm đơn điểm</v>
          </cell>
          <cell r="F94"/>
          <cell r="G94"/>
          <cell r="H94"/>
          <cell r="I94" t="str">
            <v>Chiếc</v>
          </cell>
          <cell r="J94" t="str">
            <v>VIRAL.SHL411.F03</v>
          </cell>
          <cell r="K94">
            <v>92400.000000000015</v>
          </cell>
          <cell r="L94"/>
          <cell r="M94" t="str">
            <v>TLS12K-6A</v>
          </cell>
          <cell r="N94" t="str">
            <v>Sigico</v>
          </cell>
          <cell r="O94" t="str">
            <v>VRA64, VRA94, VRE94</v>
          </cell>
          <cell r="P94" t="str">
            <v>Làm việc với  Khiên.
Cửa VRA64</v>
          </cell>
        </row>
        <row r="95">
          <cell r="D95" t="str">
            <v>VIRAL.64-DO</v>
          </cell>
          <cell r="E95" t="str">
            <v>Vấu cửa lùa VRA64 -đơn</v>
          </cell>
          <cell r="F95"/>
          <cell r="G95"/>
          <cell r="H95"/>
          <cell r="I95" t="str">
            <v>Chiếc</v>
          </cell>
          <cell r="J95" t="str">
            <v>VIRAL.64-DO</v>
          </cell>
          <cell r="K95">
            <v>12320.000000000002</v>
          </cell>
          <cell r="L95"/>
          <cell r="M95"/>
          <cell r="N95" t="str">
            <v>Sigico</v>
          </cell>
          <cell r="P95" t="str">
            <v>(Chụp hình)</v>
          </cell>
        </row>
        <row r="96">
          <cell r="D96" t="str">
            <v>VIRAL.CAD1</v>
          </cell>
          <cell r="E96" t="str">
            <v>Chốt âm đa điểm cửa lùa  (To)</v>
          </cell>
          <cell r="F96"/>
          <cell r="G96"/>
          <cell r="H96"/>
          <cell r="I96" t="str">
            <v>Chiếc</v>
          </cell>
          <cell r="J96" t="str">
            <v>VIRAL.CAD1</v>
          </cell>
          <cell r="K96">
            <v>123200.00000000003</v>
          </cell>
          <cell r="L96"/>
          <cell r="M96"/>
          <cell r="N96" t="str">
            <v>Sigico</v>
          </cell>
          <cell r="O96" t="str">
            <v>Cửa đi lùa</v>
          </cell>
        </row>
        <row r="97">
          <cell r="D97" t="str">
            <v>VIRAL.CAD2</v>
          </cell>
          <cell r="E97" t="str">
            <v>Chốt âm giả cửa lùa (To)</v>
          </cell>
          <cell r="F97"/>
          <cell r="G97"/>
          <cell r="H97"/>
          <cell r="I97" t="str">
            <v>Chiếc</v>
          </cell>
          <cell r="J97" t="str">
            <v>VIRAL.CAD2</v>
          </cell>
          <cell r="K97">
            <v>0</v>
          </cell>
          <cell r="L97"/>
          <cell r="M97"/>
          <cell r="N97" t="str">
            <v>Chưa có</v>
          </cell>
          <cell r="O97" t="str">
            <v>Cửa đi lùa</v>
          </cell>
          <cell r="P97" t="str">
            <v>Yến
Skyline</v>
          </cell>
        </row>
        <row r="98">
          <cell r="D98" t="str">
            <v>VIRAL.CAS1</v>
          </cell>
          <cell r="E98" t="str">
            <v>Chốt âm đa điểm cửa lùa  (Nhỏ)</v>
          </cell>
          <cell r="F98"/>
          <cell r="G98"/>
          <cell r="H98"/>
          <cell r="I98" t="str">
            <v>Chiếc</v>
          </cell>
          <cell r="J98" t="str">
            <v>VIRAL.CAS1</v>
          </cell>
          <cell r="K98">
            <v>101024.00000000003</v>
          </cell>
          <cell r="L98"/>
          <cell r="M98"/>
          <cell r="N98" t="str">
            <v>Sigico</v>
          </cell>
          <cell r="O98" t="str">
            <v>Cửa sổ lùa</v>
          </cell>
        </row>
        <row r="99">
          <cell r="D99" t="str">
            <v>VIRAL.CAS2</v>
          </cell>
          <cell r="E99" t="str">
            <v>Chốt âm giả cửa lùa (Nhỏ)</v>
          </cell>
          <cell r="F99"/>
          <cell r="G99"/>
          <cell r="H99"/>
          <cell r="I99" t="str">
            <v>Chiếc</v>
          </cell>
          <cell r="J99" t="str">
            <v>VIRAL.CAS2</v>
          </cell>
          <cell r="K99">
            <v>0</v>
          </cell>
          <cell r="L99"/>
          <cell r="M99"/>
          <cell r="N99" t="str">
            <v>Chưa có</v>
          </cell>
          <cell r="O99" t="str">
            <v>Cửa sổ lùa</v>
          </cell>
          <cell r="P99" t="str">
            <v>Yến
Skyline</v>
          </cell>
        </row>
        <row r="100">
          <cell r="D100" t="str">
            <v>VIRAL.NL</v>
          </cell>
          <cell r="E100" t="str">
            <v>Nắp chụp ruột khóa Viral
(Nắp lõi khoá)</v>
          </cell>
          <cell r="F100"/>
          <cell r="G100"/>
          <cell r="H100"/>
          <cell r="I100" t="str">
            <v>Chiếc</v>
          </cell>
          <cell r="J100" t="str">
            <v>VIRAL.NL</v>
          </cell>
          <cell r="K100">
            <v>41708.333333333379</v>
          </cell>
          <cell r="L100"/>
          <cell r="M100"/>
          <cell r="N100" t="str">
            <v>Sigico</v>
          </cell>
          <cell r="O100" t="str">
            <v>Cửa đi lùa</v>
          </cell>
        </row>
        <row r="101">
          <cell r="D101" t="str">
            <v>VIRAL.NLSG</v>
          </cell>
          <cell r="E101" t="str">
            <v>Nắp chụp ruột khóa Sigico
(Nắp lõi khoá)</v>
          </cell>
          <cell r="F101"/>
          <cell r="G101"/>
          <cell r="H101"/>
          <cell r="I101" t="str">
            <v>Chiếc</v>
          </cell>
          <cell r="J101"/>
          <cell r="K101">
            <v>80080.000000000015</v>
          </cell>
          <cell r="L101"/>
          <cell r="M101"/>
        </row>
        <row r="102">
          <cell r="D102" t="str">
            <v>VIRAL.LC30/30</v>
          </cell>
          <cell r="E102" t="str">
            <v>Lõi khóa cửa lùa , lõi cân 30/30</v>
          </cell>
          <cell r="F102"/>
          <cell r="G102"/>
          <cell r="H102"/>
          <cell r="I102" t="str">
            <v>Chiếc</v>
          </cell>
          <cell r="J102" t="str">
            <v>VIRAL.LC30/30</v>
          </cell>
          <cell r="K102">
            <v>179666.66666666628</v>
          </cell>
          <cell r="L102"/>
          <cell r="M102"/>
          <cell r="N102" t="str">
            <v>Skyline</v>
          </cell>
          <cell r="O102" t="str">
            <v>VRA94</v>
          </cell>
        </row>
        <row r="103">
          <cell r="D103" t="str">
            <v>VIRAL.LC35/35</v>
          </cell>
          <cell r="E103" t="str">
            <v>Lõi khóa cửa lùa (VRE120)
Lõi cân 35/35(37/37)</v>
          </cell>
          <cell r="F103"/>
          <cell r="G103"/>
          <cell r="H103"/>
          <cell r="I103" t="str">
            <v>Chiếc</v>
          </cell>
          <cell r="J103" t="str">
            <v>VIRAL.LC35/35</v>
          </cell>
          <cell r="K103">
            <v>224224.00000000006</v>
          </cell>
          <cell r="L103"/>
          <cell r="M103"/>
          <cell r="N103" t="str">
            <v>Skyline</v>
          </cell>
          <cell r="O103" t="str">
            <v>VRE120</v>
          </cell>
        </row>
        <row r="104">
          <cell r="D104" t="str">
            <v>VIRAL.PTD8530</v>
          </cell>
          <cell r="E104" t="str">
            <v>Thân khóa lùa đơn điểm  -Móc đôi.
(Thân+ miệng đón khóa)</v>
          </cell>
          <cell r="F104"/>
          <cell r="G104"/>
          <cell r="H104"/>
          <cell r="I104" t="str">
            <v>Chiếc</v>
          </cell>
          <cell r="J104" t="str">
            <v>VIRAL.PT8530</v>
          </cell>
          <cell r="K104">
            <v>227791.66666666628</v>
          </cell>
          <cell r="L104"/>
          <cell r="M104"/>
          <cell r="N104" t="str">
            <v>Skyline</v>
          </cell>
          <cell r="O104" t="str">
            <v>Cửa đi lùa</v>
          </cell>
        </row>
        <row r="105">
          <cell r="D105" t="str">
            <v>VIRAL.PTDA8530</v>
          </cell>
          <cell r="E105" t="str">
            <v>Thân khóa lùa đa điểm  -Móc đôi.
(Thân+ miệng đón khóa)</v>
          </cell>
          <cell r="F105"/>
          <cell r="G105"/>
          <cell r="H105"/>
          <cell r="I105" t="str">
            <v>Chiếc</v>
          </cell>
          <cell r="J105" t="str">
            <v>VIRAL.PT8530</v>
          </cell>
          <cell r="K105">
            <v>239780.46400000004</v>
          </cell>
          <cell r="L105"/>
          <cell r="M105"/>
          <cell r="N105" t="str">
            <v>Skyline</v>
          </cell>
          <cell r="O105" t="str">
            <v>Cửa đi lùa, Quay trượt</v>
          </cell>
        </row>
        <row r="106">
          <cell r="D106" t="str">
            <v>VIRAL.W1066</v>
          </cell>
          <cell r="E106" t="str">
            <v>Bộ chuyển động 5 thứ - cửa lùa</v>
          </cell>
          <cell r="F106"/>
          <cell r="G106"/>
          <cell r="H106"/>
          <cell r="I106" t="str">
            <v>Chiếc</v>
          </cell>
          <cell r="J106" t="str">
            <v>VIRAL.W1066</v>
          </cell>
          <cell r="K106">
            <v>119504.00000000003</v>
          </cell>
          <cell r="L106"/>
          <cell r="M106"/>
          <cell r="N106" t="str">
            <v>Skyline
Yến</v>
          </cell>
          <cell r="O106" t="str">
            <v>Cửa lùa</v>
          </cell>
        </row>
        <row r="107">
          <cell r="D107" t="str">
            <v>VIRAL.CL350</v>
          </cell>
          <cell r="E107" t="str">
            <v>Tay nắm cửa lùa nhỏ 350MM</v>
          </cell>
          <cell r="F107"/>
          <cell r="G107"/>
          <cell r="H107"/>
          <cell r="I107" t="str">
            <v>Chiếc</v>
          </cell>
          <cell r="J107" t="str">
            <v>VIRAL.CL350</v>
          </cell>
          <cell r="K107">
            <v>406560.00000000012</v>
          </cell>
          <cell r="L107"/>
          <cell r="M107"/>
          <cell r="N107" t="str">
            <v>Sigico</v>
          </cell>
          <cell r="P107" t="str">
            <v>Dùng hết mãu này thì bỏ</v>
          </cell>
        </row>
        <row r="108">
          <cell r="D108" t="str">
            <v>VIRAL.CL420</v>
          </cell>
          <cell r="E108" t="str">
            <v>Tay nắm cửa lùa nhỏ 420MM</v>
          </cell>
          <cell r="F108"/>
          <cell r="G108"/>
          <cell r="H108"/>
          <cell r="I108" t="str">
            <v>Chiếc</v>
          </cell>
          <cell r="J108" t="str">
            <v>VIRAL.CL420</v>
          </cell>
          <cell r="K108">
            <v>333735.1111111113</v>
          </cell>
          <cell r="L108"/>
          <cell r="M108"/>
          <cell r="N108" t="str">
            <v>Sigico</v>
          </cell>
          <cell r="O108" t="str">
            <v>Cửa đi lùa</v>
          </cell>
          <cell r="P108" t="str">
            <v>Skyline</v>
          </cell>
        </row>
        <row r="109">
          <cell r="D109" t="str">
            <v>VIRAL.CL450</v>
          </cell>
          <cell r="E109" t="str">
            <v>Tay nắm cửa lùa nhỏ 450MM</v>
          </cell>
          <cell r="F109"/>
          <cell r="G109"/>
          <cell r="H109"/>
          <cell r="I109"/>
          <cell r="J109"/>
          <cell r="K109">
            <v>432295</v>
          </cell>
          <cell r="L109"/>
          <cell r="M109"/>
        </row>
        <row r="110">
          <cell r="D110" t="str">
            <v>VIRAL.BXECR</v>
          </cell>
          <cell r="E110" t="str">
            <v>Bánh xe chống rung (dẫn hướng ray trên )</v>
          </cell>
          <cell r="F110"/>
          <cell r="G110"/>
          <cell r="H110"/>
          <cell r="I110" t="str">
            <v>Chiếc</v>
          </cell>
          <cell r="J110" t="str">
            <v>VIRAL.BXECHONGRUNG</v>
          </cell>
          <cell r="K110">
            <v>30800</v>
          </cell>
          <cell r="L110"/>
          <cell r="M110"/>
          <cell r="N110" t="str">
            <v>Sigico</v>
          </cell>
          <cell r="O110" t="str">
            <v>VRE94, VRE120</v>
          </cell>
          <cell r="P110" t="str">
            <v>Skyline</v>
          </cell>
          <cell r="Q110">
            <v>30.800000000000008</v>
          </cell>
        </row>
        <row r="111">
          <cell r="D111" t="str">
            <v>VIRAL.BINH2</v>
          </cell>
          <cell r="E111" t="str">
            <v>Dẫn hướng cửa lùa VRA</v>
          </cell>
          <cell r="F111"/>
          <cell r="G111"/>
          <cell r="H111"/>
          <cell r="I111" t="str">
            <v>Chiếc</v>
          </cell>
          <cell r="J111" t="str">
            <v>VIRAL.BINH2</v>
          </cell>
          <cell r="K111">
            <v>24640.000000000004</v>
          </cell>
          <cell r="L111"/>
          <cell r="M111"/>
          <cell r="N111" t="str">
            <v>Bình</v>
          </cell>
          <cell r="O111" t="str">
            <v>VRA94</v>
          </cell>
        </row>
        <row r="112">
          <cell r="D112" t="str">
            <v>VIRAL.BINH1</v>
          </cell>
          <cell r="E112" t="str">
            <v>Chốt cánh cố định (New)</v>
          </cell>
          <cell r="F112"/>
          <cell r="G112"/>
          <cell r="H112"/>
          <cell r="I112" t="str">
            <v>Chiếc</v>
          </cell>
          <cell r="J112" t="str">
            <v>VIRAL.BINH1</v>
          </cell>
          <cell r="K112">
            <v>12320.000000000002</v>
          </cell>
          <cell r="L112"/>
          <cell r="M112"/>
          <cell r="N112" t="str">
            <v>Bình</v>
          </cell>
          <cell r="O112" t="str">
            <v>Vách cố định cửa lùa</v>
          </cell>
        </row>
        <row r="113">
          <cell r="D113" t="str">
            <v>VIRAL.BXE300</v>
          </cell>
          <cell r="E113" t="str">
            <v>Bánh xe chịu lực dưới 
(VRE120)</v>
          </cell>
          <cell r="F113"/>
          <cell r="G113"/>
          <cell r="H113"/>
          <cell r="I113" t="str">
            <v>Chiếc</v>
          </cell>
          <cell r="J113" t="str">
            <v>VIRAL.BXE300</v>
          </cell>
          <cell r="K113">
            <v>112112.00000000003</v>
          </cell>
          <cell r="L113"/>
          <cell r="M113"/>
          <cell r="N113" t="str">
            <v>Sigico</v>
          </cell>
          <cell r="O113" t="str">
            <v>VRE120, 180</v>
          </cell>
        </row>
        <row r="114">
          <cell r="D114" t="str">
            <v>VIRAL.BXE400</v>
          </cell>
          <cell r="E114" t="str">
            <v>Bánh xe siêu tải trọng chịu lực dưới (VRE120)</v>
          </cell>
          <cell r="F114"/>
          <cell r="G114"/>
          <cell r="H114"/>
          <cell r="I114" t="str">
            <v>Chiếc</v>
          </cell>
          <cell r="J114" t="str">
            <v>VIRAL.BXE400</v>
          </cell>
          <cell r="K114">
            <v>165088.00000000003</v>
          </cell>
          <cell r="L114"/>
          <cell r="M114"/>
          <cell r="N114" t="str">
            <v>Sigico</v>
          </cell>
          <cell r="O114" t="str">
            <v>Cánh từ 900 trở lên</v>
          </cell>
        </row>
        <row r="115">
          <cell r="D115" t="str">
            <v>VIRAL.YQ-C8015</v>
          </cell>
          <cell r="E115" t="str">
            <v>Bánh xe cao - 1 bánh</v>
          </cell>
          <cell r="F115"/>
          <cell r="G115"/>
          <cell r="H115"/>
          <cell r="I115" t="str">
            <v>Chiếc</v>
          </cell>
          <cell r="J115" t="str">
            <v>VIRAL.YQ-C8015</v>
          </cell>
          <cell r="K115">
            <v>27104.000000000007</v>
          </cell>
          <cell r="L115"/>
          <cell r="M115"/>
          <cell r="N115" t="str">
            <v>Sigico</v>
          </cell>
          <cell r="O115" t="str">
            <v>VRE94
(Cánh dưới 600)</v>
          </cell>
        </row>
        <row r="116">
          <cell r="D116" t="str">
            <v>VIRAL.YQ-010</v>
          </cell>
          <cell r="E116" t="str">
            <v>Bánh xe cao - 2 bánh</v>
          </cell>
          <cell r="F116"/>
          <cell r="G116"/>
          <cell r="H116"/>
          <cell r="I116" t="str">
            <v>Chiếc</v>
          </cell>
          <cell r="J116" t="str">
            <v>VIRAL.YQ-010</v>
          </cell>
          <cell r="K116">
            <v>64064.000000000015</v>
          </cell>
          <cell r="L116"/>
          <cell r="M116"/>
          <cell r="N116" t="str">
            <v>Skyline</v>
          </cell>
          <cell r="O116" t="str">
            <v>VRE94</v>
          </cell>
          <cell r="P116" t="str">
            <v>Bỏ, không tồn</v>
          </cell>
        </row>
        <row r="117">
          <cell r="D117" t="str">
            <v>VIRAL.VITO13</v>
          </cell>
          <cell r="E117" t="str">
            <v>Bánh xe thấp (1 bánh)</v>
          </cell>
          <cell r="F117"/>
          <cell r="G117"/>
          <cell r="H117"/>
          <cell r="I117" t="str">
            <v>Chiếc</v>
          </cell>
          <cell r="J117" t="str">
            <v>VIRAL.VITO13</v>
          </cell>
          <cell r="K117">
            <v>24640.000000000004</v>
          </cell>
          <cell r="L117"/>
          <cell r="M117"/>
          <cell r="N117" t="str">
            <v>Yến</v>
          </cell>
          <cell r="O117" t="str">
            <v>VRA64 
(Cánh dưới 600)</v>
          </cell>
        </row>
        <row r="118">
          <cell r="D118" t="str">
            <v>VIRAL.VITO5</v>
          </cell>
          <cell r="E118" t="str">
            <v>Bánh xe thấp (2 bánh)</v>
          </cell>
          <cell r="F118"/>
          <cell r="G118"/>
          <cell r="H118"/>
          <cell r="I118" t="str">
            <v>Chiếc</v>
          </cell>
          <cell r="J118" t="str">
            <v>VIRAL.VITO5</v>
          </cell>
          <cell r="K118">
            <v>36960</v>
          </cell>
          <cell r="L118"/>
          <cell r="M118"/>
          <cell r="N118" t="str">
            <v>Yến</v>
          </cell>
          <cell r="O118" t="str">
            <v>VRA94, VRE94</v>
          </cell>
          <cell r="P118" t="str">
            <v>Trao đổi với Khiên để chỉnh chiều cao cánh</v>
          </cell>
        </row>
        <row r="119">
          <cell r="D119" t="str">
            <v>VIRAL.VITO6A</v>
          </cell>
          <cell r="E119" t="str">
            <v>Bánh xe thấp (4 bánh)</v>
          </cell>
          <cell r="F119"/>
          <cell r="G119"/>
          <cell r="H119"/>
          <cell r="I119" t="str">
            <v>Chiếc</v>
          </cell>
          <cell r="J119" t="str">
            <v>VIRAL.VITO6A</v>
          </cell>
          <cell r="K119">
            <v>73920</v>
          </cell>
          <cell r="L119"/>
          <cell r="M119"/>
          <cell r="N119" t="str">
            <v>Yến</v>
          </cell>
          <cell r="O119" t="str">
            <v>VRA94, VRE94</v>
          </cell>
        </row>
        <row r="120">
          <cell r="D120" t="str">
            <v>VIRAL.CDK</v>
          </cell>
          <cell r="E120" t="str">
            <v>Giảm chấn (Núm cao su)</v>
          </cell>
          <cell r="F120"/>
          <cell r="G120"/>
          <cell r="H120"/>
          <cell r="I120" t="str">
            <v>Chiếc</v>
          </cell>
          <cell r="J120" t="str">
            <v>VIRAL.CDK</v>
          </cell>
          <cell r="K120">
            <v>1232.0000000000002</v>
          </cell>
          <cell r="L120"/>
          <cell r="M120"/>
        </row>
        <row r="121">
          <cell r="D121" t="str">
            <v>VIRAL.FKD</v>
          </cell>
          <cell r="E121" t="str">
            <v>Chống đập cánh</v>
          </cell>
          <cell r="F121"/>
          <cell r="G121"/>
          <cell r="H121"/>
          <cell r="I121" t="str">
            <v>Chiếc</v>
          </cell>
          <cell r="J121" t="str">
            <v>VIRAL.FKD</v>
          </cell>
          <cell r="K121">
            <v>18480</v>
          </cell>
          <cell r="L121"/>
          <cell r="M121"/>
          <cell r="N121" t="str">
            <v>Yên</v>
          </cell>
          <cell r="P121" t="str">
            <v>Tươi hỏi đặt hàng</v>
          </cell>
        </row>
        <row r="122">
          <cell r="D122" t="str">
            <v>VIRAL.TCDN</v>
          </cell>
          <cell r="E122" t="str">
            <v>Thanh chuyển động nhựa</v>
          </cell>
          <cell r="F122"/>
          <cell r="G122"/>
          <cell r="H122"/>
          <cell r="I122" t="str">
            <v>Thanh</v>
          </cell>
          <cell r="J122"/>
          <cell r="K122">
            <v>12320.000000000002</v>
          </cell>
          <cell r="L122"/>
          <cell r="M122"/>
          <cell r="N122" t="str">
            <v>Skyline</v>
          </cell>
        </row>
        <row r="123">
          <cell r="D123" t="str">
            <v>VIRAL.TCD</v>
          </cell>
          <cell r="E123" t="str">
            <v>TCĐ  nhôm màu đen</v>
          </cell>
          <cell r="F123"/>
          <cell r="G123"/>
          <cell r="H123"/>
          <cell r="I123" t="str">
            <v>Cây</v>
          </cell>
          <cell r="J123" t="str">
            <v>VIRAL.TCD</v>
          </cell>
          <cell r="K123">
            <v>18480</v>
          </cell>
          <cell r="L123"/>
          <cell r="M123"/>
          <cell r="N123" t="str">
            <v>Mạnh Quy</v>
          </cell>
        </row>
        <row r="124">
          <cell r="D124" t="str">
            <v>VIRAL.NN1</v>
          </cell>
          <cell r="E124" t="str">
            <v>Nắp đậy nhưa trang trí 1</v>
          </cell>
          <cell r="F124"/>
          <cell r="G124"/>
          <cell r="H124"/>
          <cell r="I124"/>
          <cell r="J124"/>
          <cell r="K124">
            <v>0</v>
          </cell>
          <cell r="L124"/>
          <cell r="M124"/>
          <cell r="N124" t="str">
            <v>Skyline</v>
          </cell>
        </row>
        <row r="125">
          <cell r="D125" t="str">
            <v>VIRAL.NN2</v>
          </cell>
          <cell r="E125" t="str">
            <v>Nắp đậy nhưa trang trí 1</v>
          </cell>
          <cell r="F125"/>
          <cell r="G125"/>
          <cell r="H125"/>
          <cell r="I125"/>
          <cell r="J125"/>
          <cell r="K125">
            <v>0</v>
          </cell>
          <cell r="L125"/>
          <cell r="M125"/>
          <cell r="N125" t="str">
            <v>Mạnh Quy</v>
          </cell>
          <cell r="P125" t="str">
            <v>Skyline</v>
          </cell>
        </row>
        <row r="126">
          <cell r="D126" t="str">
            <v>VIRAL.R64</v>
          </cell>
          <cell r="E126" t="str">
            <v>Ray Inox bọc nhôm - VRA94, VRA64</v>
          </cell>
          <cell r="F126"/>
          <cell r="G126"/>
          <cell r="H126"/>
          <cell r="I126"/>
          <cell r="J126"/>
          <cell r="K126">
            <v>0</v>
          </cell>
          <cell r="L126"/>
          <cell r="M126"/>
          <cell r="N126" t="str">
            <v>Hswindow</v>
          </cell>
          <cell r="P126" t="str">
            <v>Skyline</v>
          </cell>
        </row>
        <row r="127">
          <cell r="D127" t="str">
            <v>VIRAL.RVRE</v>
          </cell>
          <cell r="E127" t="str">
            <v>Ray Inox cửa lùa VRE</v>
          </cell>
          <cell r="F127"/>
          <cell r="G127"/>
          <cell r="H127"/>
          <cell r="I127"/>
          <cell r="J127"/>
          <cell r="K127">
            <v>0</v>
          </cell>
          <cell r="L127"/>
          <cell r="M127"/>
          <cell r="N127" t="str">
            <v>Mạnh Quy</v>
          </cell>
          <cell r="P127" t="str">
            <v>Skyline</v>
          </cell>
        </row>
        <row r="128">
          <cell r="D128" t="str">
            <v>VIRAL.RXT</v>
          </cell>
          <cell r="E128" t="str">
            <v>Ray Inox cửa xếp trượt VRE</v>
          </cell>
          <cell r="F128"/>
          <cell r="G128"/>
          <cell r="H128"/>
          <cell r="I128"/>
          <cell r="J128"/>
          <cell r="K128">
            <v>0</v>
          </cell>
          <cell r="L128"/>
          <cell r="M128"/>
          <cell r="N128" t="str">
            <v>Mạnh Quy</v>
          </cell>
          <cell r="P128" t="str">
            <v>Skyline</v>
          </cell>
        </row>
        <row r="129">
          <cell r="D129" t="str">
            <v>VIRAL.QT01</v>
          </cell>
          <cell r="E129" t="str">
            <v>Bản lề cửa quay trượt</v>
          </cell>
          <cell r="F129"/>
          <cell r="G129"/>
          <cell r="H129"/>
          <cell r="I129" t="str">
            <v>Chiếc</v>
          </cell>
          <cell r="J129" t="str">
            <v>VIRAL.QT01</v>
          </cell>
          <cell r="K129">
            <v>62832.000000000015</v>
          </cell>
          <cell r="L129"/>
          <cell r="M129"/>
          <cell r="N129" t="str">
            <v>Makoto
AG</v>
          </cell>
          <cell r="P129" t="str">
            <v>Màu bạc</v>
          </cell>
        </row>
        <row r="130">
          <cell r="D130" t="str">
            <v>VIRAL.QT02</v>
          </cell>
          <cell r="E130" t="str">
            <v>Bánh xe quay trượt - 8 bánh</v>
          </cell>
          <cell r="F130"/>
          <cell r="G130"/>
          <cell r="H130"/>
          <cell r="I130" t="str">
            <v>Chiếc</v>
          </cell>
          <cell r="J130" t="str">
            <v>VIRAL.QT02</v>
          </cell>
          <cell r="K130">
            <v>214368.00000000006</v>
          </cell>
          <cell r="L130"/>
          <cell r="M130"/>
          <cell r="N130" t="str">
            <v>AG</v>
          </cell>
        </row>
        <row r="131">
          <cell r="D131" t="str">
            <v>VIRAL.QT03</v>
          </cell>
          <cell r="E131" t="str">
            <v>Bánh xe quay trượt - 4 bánh</v>
          </cell>
          <cell r="F131"/>
          <cell r="G131"/>
          <cell r="H131"/>
          <cell r="I131" t="str">
            <v>Chiếc</v>
          </cell>
          <cell r="J131" t="str">
            <v>VIRAL.QT03</v>
          </cell>
          <cell r="K131">
            <v>184800.00000000003</v>
          </cell>
          <cell r="L131"/>
          <cell r="M131" t="str">
            <v>Bỏ</v>
          </cell>
          <cell r="N131" t="str">
            <v>AG</v>
          </cell>
        </row>
        <row r="132">
          <cell r="D132" t="str">
            <v>VIRAL.QT04</v>
          </cell>
          <cell r="E132" t="str">
            <v>Dẫn hướng dưới</v>
          </cell>
          <cell r="F132"/>
          <cell r="G132"/>
          <cell r="H132"/>
          <cell r="I132" t="str">
            <v>Chiếc</v>
          </cell>
          <cell r="J132" t="str">
            <v>VIRAL.QT04</v>
          </cell>
          <cell r="K132">
            <v>0</v>
          </cell>
          <cell r="L132"/>
          <cell r="M132"/>
          <cell r="N132" t="str">
            <v>AG</v>
          </cell>
        </row>
        <row r="133">
          <cell r="D133" t="str">
            <v>VIRAL.QT05</v>
          </cell>
          <cell r="E133" t="str">
            <v>Bộ chốt chân cánh tự động</v>
          </cell>
          <cell r="F133"/>
          <cell r="G133"/>
          <cell r="H133"/>
          <cell r="I133" t="str">
            <v>Chiếc</v>
          </cell>
          <cell r="J133" t="str">
            <v>VIRAL.QT05</v>
          </cell>
          <cell r="K133">
            <v>283360.00000000006</v>
          </cell>
          <cell r="L133"/>
          <cell r="M133"/>
          <cell r="N133" t="str">
            <v>AG</v>
          </cell>
        </row>
        <row r="134">
          <cell r="D134" t="str">
            <v>VIRAL.QT06</v>
          </cell>
          <cell r="E134" t="str">
            <v>Bộ chốt cánh giữa cửa 4 cánh</v>
          </cell>
          <cell r="F134"/>
          <cell r="G134"/>
          <cell r="H134"/>
          <cell r="I134" t="str">
            <v>Chiếc</v>
          </cell>
          <cell r="J134" t="str">
            <v>VIRAL.QT06</v>
          </cell>
          <cell r="K134">
            <v>564256.00000000012</v>
          </cell>
          <cell r="L134"/>
          <cell r="M134"/>
          <cell r="N134" t="str">
            <v>AG</v>
          </cell>
        </row>
        <row r="135">
          <cell r="D135" t="str">
            <v>VIRAL.QT07</v>
          </cell>
          <cell r="E135" t="str">
            <v>Chốt sập cải tiến</v>
          </cell>
          <cell r="F135"/>
          <cell r="G135"/>
          <cell r="H135"/>
          <cell r="I135" t="str">
            <v>Chiếc</v>
          </cell>
          <cell r="J135" t="str">
            <v>VIRAL.QT07</v>
          </cell>
          <cell r="K135">
            <v>114576.00000000003</v>
          </cell>
          <cell r="L135"/>
          <cell r="M135"/>
          <cell r="N135" t="str">
            <v>AG</v>
          </cell>
        </row>
        <row r="136">
          <cell r="D136" t="str">
            <v>VIRAL.QT08</v>
          </cell>
          <cell r="E136" t="str">
            <v>Bộ chuyển ray trái</v>
          </cell>
          <cell r="F136"/>
          <cell r="G136"/>
          <cell r="H136"/>
          <cell r="I136" t="str">
            <v>Cặp</v>
          </cell>
          <cell r="J136" t="str">
            <v>VIRAL.QT08</v>
          </cell>
          <cell r="K136">
            <v>261184.00000000006</v>
          </cell>
          <cell r="L136"/>
          <cell r="M136"/>
          <cell r="N136" t="str">
            <v>AG</v>
          </cell>
        </row>
        <row r="137">
          <cell r="D137" t="str">
            <v>VIRAL.QT09</v>
          </cell>
          <cell r="E137" t="str">
            <v>Bộ chuyển ray phải</v>
          </cell>
          <cell r="F137"/>
          <cell r="G137"/>
          <cell r="H137"/>
          <cell r="I137" t="str">
            <v>Cặp</v>
          </cell>
          <cell r="J137" t="str">
            <v>VIRAL.QT09</v>
          </cell>
          <cell r="K137">
            <v>261184.00000000006</v>
          </cell>
          <cell r="L137"/>
          <cell r="M137"/>
          <cell r="N137" t="str">
            <v>AG</v>
          </cell>
        </row>
        <row r="138">
          <cell r="D138" t="str">
            <v>VIRAL.QT10</v>
          </cell>
          <cell r="E138" t="str">
            <v>Nắp sau ray động</v>
          </cell>
          <cell r="F138"/>
          <cell r="G138"/>
          <cell r="H138"/>
          <cell r="I138" t="str">
            <v>Cặp</v>
          </cell>
          <cell r="J138" t="str">
            <v>VIRAL.QT10</v>
          </cell>
          <cell r="K138">
            <v>8624.0000000000018</v>
          </cell>
          <cell r="L138"/>
          <cell r="M138"/>
          <cell r="N138" t="str">
            <v>AG</v>
          </cell>
        </row>
        <row r="139">
          <cell r="D139" t="str">
            <v>VIRAL.QT11</v>
          </cell>
          <cell r="E139" t="str">
            <v>Càng T nối tay gạt</v>
          </cell>
          <cell r="F139"/>
          <cell r="G139"/>
          <cell r="H139"/>
          <cell r="I139"/>
          <cell r="J139" t="str">
            <v>VIRAL.QT11</v>
          </cell>
          <cell r="K139">
            <v>16016.000000000004</v>
          </cell>
          <cell r="L139"/>
          <cell r="M139"/>
          <cell r="N139" t="str">
            <v>AG</v>
          </cell>
        </row>
        <row r="140">
          <cell r="D140" t="str">
            <v>VIRAL.QT12</v>
          </cell>
          <cell r="E140" t="str">
            <v>Núm cao su chống đập</v>
          </cell>
          <cell r="F140"/>
          <cell r="G140"/>
          <cell r="H140"/>
          <cell r="I140" t="str">
            <v>Chiếc</v>
          </cell>
          <cell r="J140" t="str">
            <v>VIRAL.QT12</v>
          </cell>
          <cell r="K140">
            <v>3696.0000000000009</v>
          </cell>
          <cell r="L140"/>
          <cell r="M140"/>
          <cell r="N140" t="str">
            <v>AG</v>
          </cell>
        </row>
        <row r="141">
          <cell r="D141" t="str">
            <v>VIRAL.QT13</v>
          </cell>
          <cell r="E141" t="str">
            <v>Núm đậy tay kéo</v>
          </cell>
          <cell r="F141"/>
          <cell r="G141"/>
          <cell r="H141"/>
          <cell r="I141" t="str">
            <v>Chiếc</v>
          </cell>
          <cell r="J141" t="str">
            <v>VIRAL.QT13</v>
          </cell>
          <cell r="K141">
            <v>3696.0000000000009</v>
          </cell>
          <cell r="L141"/>
          <cell r="M141"/>
          <cell r="N141" t="str">
            <v>AG</v>
          </cell>
        </row>
        <row r="142">
          <cell r="D142" t="str">
            <v>VIRAL.QT14</v>
          </cell>
          <cell r="E142" t="str">
            <v>Tay kéo trượt quay 600mm</v>
          </cell>
          <cell r="F142"/>
          <cell r="G142"/>
          <cell r="H142"/>
          <cell r="I142" t="str">
            <v>Chiếc</v>
          </cell>
          <cell r="J142" t="str">
            <v>VIRAL.QT14</v>
          </cell>
          <cell r="K142">
            <v>627088.00000000012</v>
          </cell>
          <cell r="L142"/>
          <cell r="M142"/>
          <cell r="N142" t="str">
            <v>SIGICO</v>
          </cell>
        </row>
        <row r="143">
          <cell r="D143" t="str">
            <v>VIRAL.QT15</v>
          </cell>
          <cell r="E143" t="str">
            <v>Lõi khóa cửa quay trượt 
PT门40MM锁芯</v>
          </cell>
          <cell r="F143"/>
          <cell r="G143"/>
          <cell r="H143"/>
          <cell r="I143" t="str">
            <v>Chiếc</v>
          </cell>
          <cell r="J143" t="str">
            <v>VIRAL.QT15</v>
          </cell>
          <cell r="K143">
            <v>135520.00000000003</v>
          </cell>
          <cell r="L143"/>
          <cell r="M143"/>
          <cell r="N143" t="str">
            <v>SIGICO</v>
          </cell>
        </row>
        <row r="144">
          <cell r="D144" t="str">
            <v>VIRAL.DLP0398</v>
          </cell>
          <cell r="E144" t="str">
            <v>Miệng đón khóa 75</v>
          </cell>
          <cell r="F144"/>
          <cell r="G144"/>
          <cell r="H144"/>
          <cell r="I144" t="str">
            <v>Chiếc</v>
          </cell>
          <cell r="J144" t="str">
            <v>VIRAL.DLP0398</v>
          </cell>
          <cell r="K144">
            <v>0</v>
          </cell>
          <cell r="L144"/>
          <cell r="M144"/>
        </row>
        <row r="145">
          <cell r="D145" t="str">
            <v>VIRAL.AGC25.##</v>
          </cell>
          <cell r="E145" t="str">
            <v>Hộp chuyển động 
(Cửa xếp trượt - -tay nắm trục)</v>
          </cell>
          <cell r="F145"/>
          <cell r="G145"/>
          <cell r="H145"/>
          <cell r="I145" t="str">
            <v>Chiếc</v>
          </cell>
          <cell r="J145" t="str">
            <v>VIRAL.AGC25.##</v>
          </cell>
          <cell r="K145">
            <v>0</v>
          </cell>
          <cell r="L145"/>
          <cell r="M145"/>
          <cell r="N145" t="str">
            <v>Hopo</v>
          </cell>
        </row>
        <row r="146">
          <cell r="D146" t="str">
            <v>VIRAL.LC45/45</v>
          </cell>
          <cell r="E146" t="str">
            <v xml:space="preserve"> Lõi khóa 90mm (SK45/45) - xếp trượt</v>
          </cell>
          <cell r="F146"/>
          <cell r="G146"/>
          <cell r="H146"/>
          <cell r="I146" t="str">
            <v>Chiếc</v>
          </cell>
          <cell r="J146" t="str">
            <v>VIRAL.LC45/45</v>
          </cell>
          <cell r="K146">
            <v>194656.00000000003</v>
          </cell>
          <cell r="L146"/>
          <cell r="M146"/>
          <cell r="N146" t="str">
            <v>Skyline</v>
          </cell>
        </row>
        <row r="147">
          <cell r="D147" t="str">
            <v>ABR65.40.011H5</v>
          </cell>
          <cell r="E147" t="str">
            <v xml:space="preserve">Bánh xe xếp trượt </v>
          </cell>
          <cell r="F147"/>
          <cell r="G147"/>
          <cell r="H147"/>
          <cell r="I147"/>
          <cell r="J147" t="str">
            <v>ABR65.40.011H5</v>
          </cell>
          <cell r="K147">
            <v>2833600.0000000005</v>
          </cell>
          <cell r="L147"/>
          <cell r="M147"/>
        </row>
        <row r="148">
          <cell r="D148" t="str">
            <v>ASH65.02.069</v>
          </cell>
          <cell r="E148" t="str">
            <v>Bản lề xếp trượt</v>
          </cell>
          <cell r="F148"/>
          <cell r="G148"/>
          <cell r="H148"/>
          <cell r="I148"/>
          <cell r="J148" t="str">
            <v>ASH65.02.069</v>
          </cell>
          <cell r="K148">
            <v>338800.00000000006</v>
          </cell>
          <cell r="L148"/>
          <cell r="M148"/>
        </row>
        <row r="149">
          <cell r="D149" t="str">
            <v>AGC65.14.021X</v>
          </cell>
          <cell r="E149" t="str">
            <v>Hộp chuyển động</v>
          </cell>
          <cell r="F149"/>
          <cell r="G149"/>
          <cell r="H149"/>
          <cell r="I149"/>
          <cell r="J149" t="str">
            <v>AGC65.14.021X</v>
          </cell>
          <cell r="K149">
            <v>258720.00000000006</v>
          </cell>
          <cell r="L149"/>
          <cell r="M149"/>
        </row>
        <row r="150">
          <cell r="D150" t="str">
            <v>TBL65.01</v>
          </cell>
          <cell r="E150" t="str">
            <v>Chống va đập</v>
          </cell>
          <cell r="F150"/>
          <cell r="G150"/>
          <cell r="H150"/>
          <cell r="I150"/>
          <cell r="J150" t="str">
            <v>TBL65.01</v>
          </cell>
          <cell r="K150">
            <v>54208.000000000015</v>
          </cell>
          <cell r="L150"/>
          <cell r="M150"/>
        </row>
        <row r="151">
          <cell r="D151" t="str">
            <v>PH173.40.069</v>
          </cell>
          <cell r="E151" t="str">
            <v>Tay nắm trục vuông</v>
          </cell>
          <cell r="F151"/>
          <cell r="G151"/>
          <cell r="H151"/>
          <cell r="I151"/>
          <cell r="J151" t="str">
            <v>PH173.40.069</v>
          </cell>
          <cell r="K151">
            <v>240240.00000000006</v>
          </cell>
          <cell r="L151"/>
          <cell r="M151"/>
        </row>
        <row r="152">
          <cell r="D152" t="str">
            <v>ASB65.10.06</v>
          </cell>
          <cell r="E152" t="str">
            <v>Chốt cánh phụ</v>
          </cell>
          <cell r="F152"/>
          <cell r="G152"/>
          <cell r="H152"/>
          <cell r="I152"/>
          <cell r="J152" t="str">
            <v>ASB65.10.06</v>
          </cell>
          <cell r="K152">
            <v>91168</v>
          </cell>
          <cell r="L152"/>
          <cell r="M152"/>
        </row>
        <row r="153">
          <cell r="D153" t="str">
            <v>Viral.taykeoBLHopo</v>
          </cell>
          <cell r="E153" t="str">
            <v>Tay kéo bản lề</v>
          </cell>
          <cell r="F153"/>
          <cell r="G153"/>
          <cell r="H153"/>
          <cell r="I153"/>
          <cell r="J153" t="str">
            <v>Viral.taykeoBLHopo</v>
          </cell>
          <cell r="K153">
            <v>468160.00000000012</v>
          </cell>
          <cell r="L153"/>
          <cell r="M153"/>
        </row>
        <row r="154">
          <cell r="D154" t="str">
            <v>VIRAL.BITDAYCD</v>
          </cell>
          <cell r="E154" t="str">
            <v>Bịt đáy cửa đi VRA55/VRA50</v>
          </cell>
          <cell r="F154"/>
          <cell r="G154"/>
          <cell r="H154"/>
          <cell r="I154"/>
          <cell r="J154" t="str">
            <v>VIRAL.BITDAYCD</v>
          </cell>
          <cell r="K154">
            <v>2464.0000000000005</v>
          </cell>
          <cell r="L154"/>
          <cell r="M154"/>
        </row>
        <row r="155">
          <cell r="D155" t="str">
            <v>A070003</v>
          </cell>
          <cell r="E155" t="str">
            <v>Đầu biên chốt cánh phụ 90mm</v>
          </cell>
          <cell r="F155"/>
          <cell r="G155"/>
          <cell r="H155"/>
          <cell r="I155"/>
          <cell r="J155"/>
          <cell r="K155">
            <v>60000</v>
          </cell>
          <cell r="L155"/>
          <cell r="M155" t="str">
            <v>pk Cmech sử dụng VRA</v>
          </cell>
        </row>
        <row r="156">
          <cell r="D156" t="str">
            <v>A020055</v>
          </cell>
          <cell r="E156" t="str">
            <v>Móc chốt cánh phụ 130mm</v>
          </cell>
          <cell r="F156"/>
          <cell r="G156"/>
          <cell r="H156"/>
          <cell r="I156"/>
          <cell r="J156"/>
          <cell r="K156">
            <v>60000</v>
          </cell>
          <cell r="L156"/>
          <cell r="M156"/>
        </row>
        <row r="157">
          <cell r="D157" t="str">
            <v>D100021</v>
          </cell>
          <cell r="E157" t="str">
            <v>Đệm chốt cánh phụ</v>
          </cell>
          <cell r="F157"/>
          <cell r="G157"/>
          <cell r="H157"/>
          <cell r="I157"/>
          <cell r="J157"/>
          <cell r="K157">
            <v>50000</v>
          </cell>
          <cell r="L157"/>
          <cell r="M157"/>
        </row>
        <row r="158">
          <cell r="D158" t="str">
            <v>A070003</v>
          </cell>
          <cell r="E158" t="str">
            <v>Đầu biên chốt cánh phụ 90mm</v>
          </cell>
          <cell r="F158"/>
          <cell r="G158"/>
          <cell r="H158"/>
          <cell r="I158"/>
          <cell r="J158"/>
          <cell r="K158">
            <v>60000</v>
          </cell>
          <cell r="L158"/>
          <cell r="M158" t="str">
            <v>PK Cmech sử dụng VRE</v>
          </cell>
        </row>
        <row r="159">
          <cell r="D159" t="str">
            <v>D070010</v>
          </cell>
          <cell r="E159" t="str">
            <v>Bộ nối chốt liền cánh phụ</v>
          </cell>
          <cell r="F159"/>
          <cell r="G159"/>
          <cell r="H159"/>
          <cell r="I159"/>
          <cell r="J159"/>
          <cell r="K159">
            <v>160000</v>
          </cell>
          <cell r="L159"/>
          <cell r="M159"/>
        </row>
        <row r="160">
          <cell r="D160" t="str">
            <v>D070003</v>
          </cell>
          <cell r="E160" t="str">
            <v>Đệm chốt cánh phụ</v>
          </cell>
          <cell r="F160"/>
          <cell r="G160"/>
          <cell r="H160"/>
          <cell r="I160"/>
          <cell r="J160"/>
          <cell r="K160">
            <v>85000</v>
          </cell>
          <cell r="L160"/>
          <cell r="M160"/>
        </row>
        <row r="161">
          <cell r="D161"/>
          <cell r="E161"/>
          <cell r="F161"/>
          <cell r="G161"/>
          <cell r="H161"/>
          <cell r="I161"/>
          <cell r="J161"/>
          <cell r="K161">
            <v>0</v>
          </cell>
          <cell r="L161"/>
          <cell r="M161"/>
        </row>
        <row r="200">
          <cell r="E200"/>
          <cell r="F200"/>
          <cell r="G200"/>
          <cell r="H200"/>
          <cell r="I200"/>
          <cell r="J200"/>
          <cell r="K200"/>
          <cell r="L200"/>
          <cell r="M200"/>
        </row>
        <row r="201">
          <cell r="E201"/>
          <cell r="F201"/>
          <cell r="G201"/>
          <cell r="H201"/>
          <cell r="I201"/>
          <cell r="J201"/>
          <cell r="K201"/>
          <cell r="L201"/>
          <cell r="M201"/>
        </row>
        <row r="202">
          <cell r="E202"/>
          <cell r="F202"/>
          <cell r="G202"/>
          <cell r="H202"/>
          <cell r="I202"/>
          <cell r="J202"/>
          <cell r="K202"/>
          <cell r="L202"/>
          <cell r="M20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topLeftCell="A3" zoomScale="98" zoomScaleNormal="98" workbookViewId="0">
      <selection activeCell="J10" sqref="J10"/>
    </sheetView>
  </sheetViews>
  <sheetFormatPr defaultRowHeight="15"/>
  <cols>
    <col min="1" max="1" width="5" style="2" customWidth="1"/>
    <col min="2" max="2" width="31" customWidth="1"/>
    <col min="3" max="3" width="13.85546875" customWidth="1"/>
    <col min="4" max="4" width="10.42578125" customWidth="1"/>
    <col min="5" max="5" width="9.42578125" customWidth="1"/>
    <col min="6" max="6" width="8.28515625" customWidth="1"/>
    <col min="7" max="7" width="11.140625" customWidth="1"/>
    <col min="8" max="8" width="22.5703125" customWidth="1"/>
    <col min="251" max="251" width="5" customWidth="1"/>
    <col min="252" max="252" width="13" customWidth="1"/>
    <col min="253" max="253" width="30.5703125" customWidth="1"/>
    <col min="254" max="255" width="8.28515625" customWidth="1"/>
    <col min="256" max="256" width="8.140625" customWidth="1"/>
    <col min="257" max="257" width="10.140625" customWidth="1"/>
    <col min="258" max="258" width="10.85546875" customWidth="1"/>
    <col min="259" max="259" width="12.28515625" bestFit="1" customWidth="1"/>
    <col min="507" max="507" width="5" customWidth="1"/>
    <col min="508" max="508" width="13" customWidth="1"/>
    <col min="509" max="509" width="30.5703125" customWidth="1"/>
    <col min="510" max="511" width="8.28515625" customWidth="1"/>
    <col min="512" max="512" width="8.140625" customWidth="1"/>
    <col min="513" max="513" width="10.140625" customWidth="1"/>
    <col min="514" max="514" width="10.85546875" customWidth="1"/>
    <col min="515" max="515" width="12.28515625" bestFit="1" customWidth="1"/>
    <col min="763" max="763" width="5" customWidth="1"/>
    <col min="764" max="764" width="13" customWidth="1"/>
    <col min="765" max="765" width="30.5703125" customWidth="1"/>
    <col min="766" max="767" width="8.28515625" customWidth="1"/>
    <col min="768" max="768" width="8.140625" customWidth="1"/>
    <col min="769" max="769" width="10.140625" customWidth="1"/>
    <col min="770" max="770" width="10.85546875" customWidth="1"/>
    <col min="771" max="771" width="12.28515625" bestFit="1" customWidth="1"/>
    <col min="1019" max="1019" width="5" customWidth="1"/>
    <col min="1020" max="1020" width="13" customWidth="1"/>
    <col min="1021" max="1021" width="30.5703125" customWidth="1"/>
    <col min="1022" max="1023" width="8.28515625" customWidth="1"/>
    <col min="1024" max="1024" width="8.140625" customWidth="1"/>
    <col min="1025" max="1025" width="10.140625" customWidth="1"/>
    <col min="1026" max="1026" width="10.85546875" customWidth="1"/>
    <col min="1027" max="1027" width="12.28515625" bestFit="1" customWidth="1"/>
    <col min="1275" max="1275" width="5" customWidth="1"/>
    <col min="1276" max="1276" width="13" customWidth="1"/>
    <col min="1277" max="1277" width="30.5703125" customWidth="1"/>
    <col min="1278" max="1279" width="8.28515625" customWidth="1"/>
    <col min="1280" max="1280" width="8.140625" customWidth="1"/>
    <col min="1281" max="1281" width="10.140625" customWidth="1"/>
    <col min="1282" max="1282" width="10.85546875" customWidth="1"/>
    <col min="1283" max="1283" width="12.28515625" bestFit="1" customWidth="1"/>
    <col min="1531" max="1531" width="5" customWidth="1"/>
    <col min="1532" max="1532" width="13" customWidth="1"/>
    <col min="1533" max="1533" width="30.5703125" customWidth="1"/>
    <col min="1534" max="1535" width="8.28515625" customWidth="1"/>
    <col min="1536" max="1536" width="8.140625" customWidth="1"/>
    <col min="1537" max="1537" width="10.140625" customWidth="1"/>
    <col min="1538" max="1538" width="10.85546875" customWidth="1"/>
    <col min="1539" max="1539" width="12.28515625" bestFit="1" customWidth="1"/>
    <col min="1787" max="1787" width="5" customWidth="1"/>
    <col min="1788" max="1788" width="13" customWidth="1"/>
    <col min="1789" max="1789" width="30.5703125" customWidth="1"/>
    <col min="1790" max="1791" width="8.28515625" customWidth="1"/>
    <col min="1792" max="1792" width="8.140625" customWidth="1"/>
    <col min="1793" max="1793" width="10.140625" customWidth="1"/>
    <col min="1794" max="1794" width="10.85546875" customWidth="1"/>
    <col min="1795" max="1795" width="12.28515625" bestFit="1" customWidth="1"/>
    <col min="2043" max="2043" width="5" customWidth="1"/>
    <col min="2044" max="2044" width="13" customWidth="1"/>
    <col min="2045" max="2045" width="30.5703125" customWidth="1"/>
    <col min="2046" max="2047" width="8.28515625" customWidth="1"/>
    <col min="2048" max="2048" width="8.140625" customWidth="1"/>
    <col min="2049" max="2049" width="10.140625" customWidth="1"/>
    <col min="2050" max="2050" width="10.85546875" customWidth="1"/>
    <col min="2051" max="2051" width="12.28515625" bestFit="1" customWidth="1"/>
    <col min="2299" max="2299" width="5" customWidth="1"/>
    <col min="2300" max="2300" width="13" customWidth="1"/>
    <col min="2301" max="2301" width="30.5703125" customWidth="1"/>
    <col min="2302" max="2303" width="8.28515625" customWidth="1"/>
    <col min="2304" max="2304" width="8.140625" customWidth="1"/>
    <col min="2305" max="2305" width="10.140625" customWidth="1"/>
    <col min="2306" max="2306" width="10.85546875" customWidth="1"/>
    <col min="2307" max="2307" width="12.28515625" bestFit="1" customWidth="1"/>
    <col min="2555" max="2555" width="5" customWidth="1"/>
    <col min="2556" max="2556" width="13" customWidth="1"/>
    <col min="2557" max="2557" width="30.5703125" customWidth="1"/>
    <col min="2558" max="2559" width="8.28515625" customWidth="1"/>
    <col min="2560" max="2560" width="8.140625" customWidth="1"/>
    <col min="2561" max="2561" width="10.140625" customWidth="1"/>
    <col min="2562" max="2562" width="10.85546875" customWidth="1"/>
    <col min="2563" max="2563" width="12.28515625" bestFit="1" customWidth="1"/>
    <col min="2811" max="2811" width="5" customWidth="1"/>
    <col min="2812" max="2812" width="13" customWidth="1"/>
    <col min="2813" max="2813" width="30.5703125" customWidth="1"/>
    <col min="2814" max="2815" width="8.28515625" customWidth="1"/>
    <col min="2816" max="2816" width="8.140625" customWidth="1"/>
    <col min="2817" max="2817" width="10.140625" customWidth="1"/>
    <col min="2818" max="2818" width="10.85546875" customWidth="1"/>
    <col min="2819" max="2819" width="12.28515625" bestFit="1" customWidth="1"/>
    <col min="3067" max="3067" width="5" customWidth="1"/>
    <col min="3068" max="3068" width="13" customWidth="1"/>
    <col min="3069" max="3069" width="30.5703125" customWidth="1"/>
    <col min="3070" max="3071" width="8.28515625" customWidth="1"/>
    <col min="3072" max="3072" width="8.140625" customWidth="1"/>
    <col min="3073" max="3073" width="10.140625" customWidth="1"/>
    <col min="3074" max="3074" width="10.85546875" customWidth="1"/>
    <col min="3075" max="3075" width="12.28515625" bestFit="1" customWidth="1"/>
    <col min="3323" max="3323" width="5" customWidth="1"/>
    <col min="3324" max="3324" width="13" customWidth="1"/>
    <col min="3325" max="3325" width="30.5703125" customWidth="1"/>
    <col min="3326" max="3327" width="8.28515625" customWidth="1"/>
    <col min="3328" max="3328" width="8.140625" customWidth="1"/>
    <col min="3329" max="3329" width="10.140625" customWidth="1"/>
    <col min="3330" max="3330" width="10.85546875" customWidth="1"/>
    <col min="3331" max="3331" width="12.28515625" bestFit="1" customWidth="1"/>
    <col min="3579" max="3579" width="5" customWidth="1"/>
    <col min="3580" max="3580" width="13" customWidth="1"/>
    <col min="3581" max="3581" width="30.5703125" customWidth="1"/>
    <col min="3582" max="3583" width="8.28515625" customWidth="1"/>
    <col min="3584" max="3584" width="8.140625" customWidth="1"/>
    <col min="3585" max="3585" width="10.140625" customWidth="1"/>
    <col min="3586" max="3586" width="10.85546875" customWidth="1"/>
    <col min="3587" max="3587" width="12.28515625" bestFit="1" customWidth="1"/>
    <col min="3835" max="3835" width="5" customWidth="1"/>
    <col min="3836" max="3836" width="13" customWidth="1"/>
    <col min="3837" max="3837" width="30.5703125" customWidth="1"/>
    <col min="3838" max="3839" width="8.28515625" customWidth="1"/>
    <col min="3840" max="3840" width="8.140625" customWidth="1"/>
    <col min="3841" max="3841" width="10.140625" customWidth="1"/>
    <col min="3842" max="3842" width="10.85546875" customWidth="1"/>
    <col min="3843" max="3843" width="12.28515625" bestFit="1" customWidth="1"/>
    <col min="4091" max="4091" width="5" customWidth="1"/>
    <col min="4092" max="4092" width="13" customWidth="1"/>
    <col min="4093" max="4093" width="30.5703125" customWidth="1"/>
    <col min="4094" max="4095" width="8.28515625" customWidth="1"/>
    <col min="4096" max="4096" width="8.140625" customWidth="1"/>
    <col min="4097" max="4097" width="10.140625" customWidth="1"/>
    <col min="4098" max="4098" width="10.85546875" customWidth="1"/>
    <col min="4099" max="4099" width="12.28515625" bestFit="1" customWidth="1"/>
    <col min="4347" max="4347" width="5" customWidth="1"/>
    <col min="4348" max="4348" width="13" customWidth="1"/>
    <col min="4349" max="4349" width="30.5703125" customWidth="1"/>
    <col min="4350" max="4351" width="8.28515625" customWidth="1"/>
    <col min="4352" max="4352" width="8.140625" customWidth="1"/>
    <col min="4353" max="4353" width="10.140625" customWidth="1"/>
    <col min="4354" max="4354" width="10.85546875" customWidth="1"/>
    <col min="4355" max="4355" width="12.28515625" bestFit="1" customWidth="1"/>
    <col min="4603" max="4603" width="5" customWidth="1"/>
    <col min="4604" max="4604" width="13" customWidth="1"/>
    <col min="4605" max="4605" width="30.5703125" customWidth="1"/>
    <col min="4606" max="4607" width="8.28515625" customWidth="1"/>
    <col min="4608" max="4608" width="8.140625" customWidth="1"/>
    <col min="4609" max="4609" width="10.140625" customWidth="1"/>
    <col min="4610" max="4610" width="10.85546875" customWidth="1"/>
    <col min="4611" max="4611" width="12.28515625" bestFit="1" customWidth="1"/>
    <col min="4859" max="4859" width="5" customWidth="1"/>
    <col min="4860" max="4860" width="13" customWidth="1"/>
    <col min="4861" max="4861" width="30.5703125" customWidth="1"/>
    <col min="4862" max="4863" width="8.28515625" customWidth="1"/>
    <col min="4864" max="4864" width="8.140625" customWidth="1"/>
    <col min="4865" max="4865" width="10.140625" customWidth="1"/>
    <col min="4866" max="4866" width="10.85546875" customWidth="1"/>
    <col min="4867" max="4867" width="12.28515625" bestFit="1" customWidth="1"/>
    <col min="5115" max="5115" width="5" customWidth="1"/>
    <col min="5116" max="5116" width="13" customWidth="1"/>
    <col min="5117" max="5117" width="30.5703125" customWidth="1"/>
    <col min="5118" max="5119" width="8.28515625" customWidth="1"/>
    <col min="5120" max="5120" width="8.140625" customWidth="1"/>
    <col min="5121" max="5121" width="10.140625" customWidth="1"/>
    <col min="5122" max="5122" width="10.85546875" customWidth="1"/>
    <col min="5123" max="5123" width="12.28515625" bestFit="1" customWidth="1"/>
    <col min="5371" max="5371" width="5" customWidth="1"/>
    <col min="5372" max="5372" width="13" customWidth="1"/>
    <col min="5373" max="5373" width="30.5703125" customWidth="1"/>
    <col min="5374" max="5375" width="8.28515625" customWidth="1"/>
    <col min="5376" max="5376" width="8.140625" customWidth="1"/>
    <col min="5377" max="5377" width="10.140625" customWidth="1"/>
    <col min="5378" max="5378" width="10.85546875" customWidth="1"/>
    <col min="5379" max="5379" width="12.28515625" bestFit="1" customWidth="1"/>
    <col min="5627" max="5627" width="5" customWidth="1"/>
    <col min="5628" max="5628" width="13" customWidth="1"/>
    <col min="5629" max="5629" width="30.5703125" customWidth="1"/>
    <col min="5630" max="5631" width="8.28515625" customWidth="1"/>
    <col min="5632" max="5632" width="8.140625" customWidth="1"/>
    <col min="5633" max="5633" width="10.140625" customWidth="1"/>
    <col min="5634" max="5634" width="10.85546875" customWidth="1"/>
    <col min="5635" max="5635" width="12.28515625" bestFit="1" customWidth="1"/>
    <col min="5883" max="5883" width="5" customWidth="1"/>
    <col min="5884" max="5884" width="13" customWidth="1"/>
    <col min="5885" max="5885" width="30.5703125" customWidth="1"/>
    <col min="5886" max="5887" width="8.28515625" customWidth="1"/>
    <col min="5888" max="5888" width="8.140625" customWidth="1"/>
    <col min="5889" max="5889" width="10.140625" customWidth="1"/>
    <col min="5890" max="5890" width="10.85546875" customWidth="1"/>
    <col min="5891" max="5891" width="12.28515625" bestFit="1" customWidth="1"/>
    <col min="6139" max="6139" width="5" customWidth="1"/>
    <col min="6140" max="6140" width="13" customWidth="1"/>
    <col min="6141" max="6141" width="30.5703125" customWidth="1"/>
    <col min="6142" max="6143" width="8.28515625" customWidth="1"/>
    <col min="6144" max="6144" width="8.140625" customWidth="1"/>
    <col min="6145" max="6145" width="10.140625" customWidth="1"/>
    <col min="6146" max="6146" width="10.85546875" customWidth="1"/>
    <col min="6147" max="6147" width="12.28515625" bestFit="1" customWidth="1"/>
    <col min="6395" max="6395" width="5" customWidth="1"/>
    <col min="6396" max="6396" width="13" customWidth="1"/>
    <col min="6397" max="6397" width="30.5703125" customWidth="1"/>
    <col min="6398" max="6399" width="8.28515625" customWidth="1"/>
    <col min="6400" max="6400" width="8.140625" customWidth="1"/>
    <col min="6401" max="6401" width="10.140625" customWidth="1"/>
    <col min="6402" max="6402" width="10.85546875" customWidth="1"/>
    <col min="6403" max="6403" width="12.28515625" bestFit="1" customWidth="1"/>
    <col min="6651" max="6651" width="5" customWidth="1"/>
    <col min="6652" max="6652" width="13" customWidth="1"/>
    <col min="6653" max="6653" width="30.5703125" customWidth="1"/>
    <col min="6654" max="6655" width="8.28515625" customWidth="1"/>
    <col min="6656" max="6656" width="8.140625" customWidth="1"/>
    <col min="6657" max="6657" width="10.140625" customWidth="1"/>
    <col min="6658" max="6658" width="10.85546875" customWidth="1"/>
    <col min="6659" max="6659" width="12.28515625" bestFit="1" customWidth="1"/>
    <col min="6907" max="6907" width="5" customWidth="1"/>
    <col min="6908" max="6908" width="13" customWidth="1"/>
    <col min="6909" max="6909" width="30.5703125" customWidth="1"/>
    <col min="6910" max="6911" width="8.28515625" customWidth="1"/>
    <col min="6912" max="6912" width="8.140625" customWidth="1"/>
    <col min="6913" max="6913" width="10.140625" customWidth="1"/>
    <col min="6914" max="6914" width="10.85546875" customWidth="1"/>
    <col min="6915" max="6915" width="12.28515625" bestFit="1" customWidth="1"/>
    <col min="7163" max="7163" width="5" customWidth="1"/>
    <col min="7164" max="7164" width="13" customWidth="1"/>
    <col min="7165" max="7165" width="30.5703125" customWidth="1"/>
    <col min="7166" max="7167" width="8.28515625" customWidth="1"/>
    <col min="7168" max="7168" width="8.140625" customWidth="1"/>
    <col min="7169" max="7169" width="10.140625" customWidth="1"/>
    <col min="7170" max="7170" width="10.85546875" customWidth="1"/>
    <col min="7171" max="7171" width="12.28515625" bestFit="1" customWidth="1"/>
    <col min="7419" max="7419" width="5" customWidth="1"/>
    <col min="7420" max="7420" width="13" customWidth="1"/>
    <col min="7421" max="7421" width="30.5703125" customWidth="1"/>
    <col min="7422" max="7423" width="8.28515625" customWidth="1"/>
    <col min="7424" max="7424" width="8.140625" customWidth="1"/>
    <col min="7425" max="7425" width="10.140625" customWidth="1"/>
    <col min="7426" max="7426" width="10.85546875" customWidth="1"/>
    <col min="7427" max="7427" width="12.28515625" bestFit="1" customWidth="1"/>
    <col min="7675" max="7675" width="5" customWidth="1"/>
    <col min="7676" max="7676" width="13" customWidth="1"/>
    <col min="7677" max="7677" width="30.5703125" customWidth="1"/>
    <col min="7678" max="7679" width="8.28515625" customWidth="1"/>
    <col min="7680" max="7680" width="8.140625" customWidth="1"/>
    <col min="7681" max="7681" width="10.140625" customWidth="1"/>
    <col min="7682" max="7682" width="10.85546875" customWidth="1"/>
    <col min="7683" max="7683" width="12.28515625" bestFit="1" customWidth="1"/>
    <col min="7931" max="7931" width="5" customWidth="1"/>
    <col min="7932" max="7932" width="13" customWidth="1"/>
    <col min="7933" max="7933" width="30.5703125" customWidth="1"/>
    <col min="7934" max="7935" width="8.28515625" customWidth="1"/>
    <col min="7936" max="7936" width="8.140625" customWidth="1"/>
    <col min="7937" max="7937" width="10.140625" customWidth="1"/>
    <col min="7938" max="7938" width="10.85546875" customWidth="1"/>
    <col min="7939" max="7939" width="12.28515625" bestFit="1" customWidth="1"/>
    <col min="8187" max="8187" width="5" customWidth="1"/>
    <col min="8188" max="8188" width="13" customWidth="1"/>
    <col min="8189" max="8189" width="30.5703125" customWidth="1"/>
    <col min="8190" max="8191" width="8.28515625" customWidth="1"/>
    <col min="8192" max="8192" width="8.140625" customWidth="1"/>
    <col min="8193" max="8193" width="10.140625" customWidth="1"/>
    <col min="8194" max="8194" width="10.85546875" customWidth="1"/>
    <col min="8195" max="8195" width="12.28515625" bestFit="1" customWidth="1"/>
    <col min="8443" max="8443" width="5" customWidth="1"/>
    <col min="8444" max="8444" width="13" customWidth="1"/>
    <col min="8445" max="8445" width="30.5703125" customWidth="1"/>
    <col min="8446" max="8447" width="8.28515625" customWidth="1"/>
    <col min="8448" max="8448" width="8.140625" customWidth="1"/>
    <col min="8449" max="8449" width="10.140625" customWidth="1"/>
    <col min="8450" max="8450" width="10.85546875" customWidth="1"/>
    <col min="8451" max="8451" width="12.28515625" bestFit="1" customWidth="1"/>
    <col min="8699" max="8699" width="5" customWidth="1"/>
    <col min="8700" max="8700" width="13" customWidth="1"/>
    <col min="8701" max="8701" width="30.5703125" customWidth="1"/>
    <col min="8702" max="8703" width="8.28515625" customWidth="1"/>
    <col min="8704" max="8704" width="8.140625" customWidth="1"/>
    <col min="8705" max="8705" width="10.140625" customWidth="1"/>
    <col min="8706" max="8706" width="10.85546875" customWidth="1"/>
    <col min="8707" max="8707" width="12.28515625" bestFit="1" customWidth="1"/>
    <col min="8955" max="8955" width="5" customWidth="1"/>
    <col min="8956" max="8956" width="13" customWidth="1"/>
    <col min="8957" max="8957" width="30.5703125" customWidth="1"/>
    <col min="8958" max="8959" width="8.28515625" customWidth="1"/>
    <col min="8960" max="8960" width="8.140625" customWidth="1"/>
    <col min="8961" max="8961" width="10.140625" customWidth="1"/>
    <col min="8962" max="8962" width="10.85546875" customWidth="1"/>
    <col min="8963" max="8963" width="12.28515625" bestFit="1" customWidth="1"/>
    <col min="9211" max="9211" width="5" customWidth="1"/>
    <col min="9212" max="9212" width="13" customWidth="1"/>
    <col min="9213" max="9213" width="30.5703125" customWidth="1"/>
    <col min="9214" max="9215" width="8.28515625" customWidth="1"/>
    <col min="9216" max="9216" width="8.140625" customWidth="1"/>
    <col min="9217" max="9217" width="10.140625" customWidth="1"/>
    <col min="9218" max="9218" width="10.85546875" customWidth="1"/>
    <col min="9219" max="9219" width="12.28515625" bestFit="1" customWidth="1"/>
    <col min="9467" max="9467" width="5" customWidth="1"/>
    <col min="9468" max="9468" width="13" customWidth="1"/>
    <col min="9469" max="9469" width="30.5703125" customWidth="1"/>
    <col min="9470" max="9471" width="8.28515625" customWidth="1"/>
    <col min="9472" max="9472" width="8.140625" customWidth="1"/>
    <col min="9473" max="9473" width="10.140625" customWidth="1"/>
    <col min="9474" max="9474" width="10.85546875" customWidth="1"/>
    <col min="9475" max="9475" width="12.28515625" bestFit="1" customWidth="1"/>
    <col min="9723" max="9723" width="5" customWidth="1"/>
    <col min="9724" max="9724" width="13" customWidth="1"/>
    <col min="9725" max="9725" width="30.5703125" customWidth="1"/>
    <col min="9726" max="9727" width="8.28515625" customWidth="1"/>
    <col min="9728" max="9728" width="8.140625" customWidth="1"/>
    <col min="9729" max="9729" width="10.140625" customWidth="1"/>
    <col min="9730" max="9730" width="10.85546875" customWidth="1"/>
    <col min="9731" max="9731" width="12.28515625" bestFit="1" customWidth="1"/>
    <col min="9979" max="9979" width="5" customWidth="1"/>
    <col min="9980" max="9980" width="13" customWidth="1"/>
    <col min="9981" max="9981" width="30.5703125" customWidth="1"/>
    <col min="9982" max="9983" width="8.28515625" customWidth="1"/>
    <col min="9984" max="9984" width="8.140625" customWidth="1"/>
    <col min="9985" max="9985" width="10.140625" customWidth="1"/>
    <col min="9986" max="9986" width="10.85546875" customWidth="1"/>
    <col min="9987" max="9987" width="12.28515625" bestFit="1" customWidth="1"/>
    <col min="10235" max="10235" width="5" customWidth="1"/>
    <col min="10236" max="10236" width="13" customWidth="1"/>
    <col min="10237" max="10237" width="30.5703125" customWidth="1"/>
    <col min="10238" max="10239" width="8.28515625" customWidth="1"/>
    <col min="10240" max="10240" width="8.140625" customWidth="1"/>
    <col min="10241" max="10241" width="10.140625" customWidth="1"/>
    <col min="10242" max="10242" width="10.85546875" customWidth="1"/>
    <col min="10243" max="10243" width="12.28515625" bestFit="1" customWidth="1"/>
    <col min="10491" max="10491" width="5" customWidth="1"/>
    <col min="10492" max="10492" width="13" customWidth="1"/>
    <col min="10493" max="10493" width="30.5703125" customWidth="1"/>
    <col min="10494" max="10495" width="8.28515625" customWidth="1"/>
    <col min="10496" max="10496" width="8.140625" customWidth="1"/>
    <col min="10497" max="10497" width="10.140625" customWidth="1"/>
    <col min="10498" max="10498" width="10.85546875" customWidth="1"/>
    <col min="10499" max="10499" width="12.28515625" bestFit="1" customWidth="1"/>
    <col min="10747" max="10747" width="5" customWidth="1"/>
    <col min="10748" max="10748" width="13" customWidth="1"/>
    <col min="10749" max="10749" width="30.5703125" customWidth="1"/>
    <col min="10750" max="10751" width="8.28515625" customWidth="1"/>
    <col min="10752" max="10752" width="8.140625" customWidth="1"/>
    <col min="10753" max="10753" width="10.140625" customWidth="1"/>
    <col min="10754" max="10754" width="10.85546875" customWidth="1"/>
    <col min="10755" max="10755" width="12.28515625" bestFit="1" customWidth="1"/>
    <col min="11003" max="11003" width="5" customWidth="1"/>
    <col min="11004" max="11004" width="13" customWidth="1"/>
    <col min="11005" max="11005" width="30.5703125" customWidth="1"/>
    <col min="11006" max="11007" width="8.28515625" customWidth="1"/>
    <col min="11008" max="11008" width="8.140625" customWidth="1"/>
    <col min="11009" max="11009" width="10.140625" customWidth="1"/>
    <col min="11010" max="11010" width="10.85546875" customWidth="1"/>
    <col min="11011" max="11011" width="12.28515625" bestFit="1" customWidth="1"/>
    <col min="11259" max="11259" width="5" customWidth="1"/>
    <col min="11260" max="11260" width="13" customWidth="1"/>
    <col min="11261" max="11261" width="30.5703125" customWidth="1"/>
    <col min="11262" max="11263" width="8.28515625" customWidth="1"/>
    <col min="11264" max="11264" width="8.140625" customWidth="1"/>
    <col min="11265" max="11265" width="10.140625" customWidth="1"/>
    <col min="11266" max="11266" width="10.85546875" customWidth="1"/>
    <col min="11267" max="11267" width="12.28515625" bestFit="1" customWidth="1"/>
    <col min="11515" max="11515" width="5" customWidth="1"/>
    <col min="11516" max="11516" width="13" customWidth="1"/>
    <col min="11517" max="11517" width="30.5703125" customWidth="1"/>
    <col min="11518" max="11519" width="8.28515625" customWidth="1"/>
    <col min="11520" max="11520" width="8.140625" customWidth="1"/>
    <col min="11521" max="11521" width="10.140625" customWidth="1"/>
    <col min="11522" max="11522" width="10.85546875" customWidth="1"/>
    <col min="11523" max="11523" width="12.28515625" bestFit="1" customWidth="1"/>
    <col min="11771" max="11771" width="5" customWidth="1"/>
    <col min="11772" max="11772" width="13" customWidth="1"/>
    <col min="11773" max="11773" width="30.5703125" customWidth="1"/>
    <col min="11774" max="11775" width="8.28515625" customWidth="1"/>
    <col min="11776" max="11776" width="8.140625" customWidth="1"/>
    <col min="11777" max="11777" width="10.140625" customWidth="1"/>
    <col min="11778" max="11778" width="10.85546875" customWidth="1"/>
    <col min="11779" max="11779" width="12.28515625" bestFit="1" customWidth="1"/>
    <col min="12027" max="12027" width="5" customWidth="1"/>
    <col min="12028" max="12028" width="13" customWidth="1"/>
    <col min="12029" max="12029" width="30.5703125" customWidth="1"/>
    <col min="12030" max="12031" width="8.28515625" customWidth="1"/>
    <col min="12032" max="12032" width="8.140625" customWidth="1"/>
    <col min="12033" max="12033" width="10.140625" customWidth="1"/>
    <col min="12034" max="12034" width="10.85546875" customWidth="1"/>
    <col min="12035" max="12035" width="12.28515625" bestFit="1" customWidth="1"/>
    <col min="12283" max="12283" width="5" customWidth="1"/>
    <col min="12284" max="12284" width="13" customWidth="1"/>
    <col min="12285" max="12285" width="30.5703125" customWidth="1"/>
    <col min="12286" max="12287" width="8.28515625" customWidth="1"/>
    <col min="12288" max="12288" width="8.140625" customWidth="1"/>
    <col min="12289" max="12289" width="10.140625" customWidth="1"/>
    <col min="12290" max="12290" width="10.85546875" customWidth="1"/>
    <col min="12291" max="12291" width="12.28515625" bestFit="1" customWidth="1"/>
    <col min="12539" max="12539" width="5" customWidth="1"/>
    <col min="12540" max="12540" width="13" customWidth="1"/>
    <col min="12541" max="12541" width="30.5703125" customWidth="1"/>
    <col min="12542" max="12543" width="8.28515625" customWidth="1"/>
    <col min="12544" max="12544" width="8.140625" customWidth="1"/>
    <col min="12545" max="12545" width="10.140625" customWidth="1"/>
    <col min="12546" max="12546" width="10.85546875" customWidth="1"/>
    <col min="12547" max="12547" width="12.28515625" bestFit="1" customWidth="1"/>
    <col min="12795" max="12795" width="5" customWidth="1"/>
    <col min="12796" max="12796" width="13" customWidth="1"/>
    <col min="12797" max="12797" width="30.5703125" customWidth="1"/>
    <col min="12798" max="12799" width="8.28515625" customWidth="1"/>
    <col min="12800" max="12800" width="8.140625" customWidth="1"/>
    <col min="12801" max="12801" width="10.140625" customWidth="1"/>
    <col min="12802" max="12802" width="10.85546875" customWidth="1"/>
    <col min="12803" max="12803" width="12.28515625" bestFit="1" customWidth="1"/>
    <col min="13051" max="13051" width="5" customWidth="1"/>
    <col min="13052" max="13052" width="13" customWidth="1"/>
    <col min="13053" max="13053" width="30.5703125" customWidth="1"/>
    <col min="13054" max="13055" width="8.28515625" customWidth="1"/>
    <col min="13056" max="13056" width="8.140625" customWidth="1"/>
    <col min="13057" max="13057" width="10.140625" customWidth="1"/>
    <col min="13058" max="13058" width="10.85546875" customWidth="1"/>
    <col min="13059" max="13059" width="12.28515625" bestFit="1" customWidth="1"/>
    <col min="13307" max="13307" width="5" customWidth="1"/>
    <col min="13308" max="13308" width="13" customWidth="1"/>
    <col min="13309" max="13309" width="30.5703125" customWidth="1"/>
    <col min="13310" max="13311" width="8.28515625" customWidth="1"/>
    <col min="13312" max="13312" width="8.140625" customWidth="1"/>
    <col min="13313" max="13313" width="10.140625" customWidth="1"/>
    <col min="13314" max="13314" width="10.85546875" customWidth="1"/>
    <col min="13315" max="13315" width="12.28515625" bestFit="1" customWidth="1"/>
    <col min="13563" max="13563" width="5" customWidth="1"/>
    <col min="13564" max="13564" width="13" customWidth="1"/>
    <col min="13565" max="13565" width="30.5703125" customWidth="1"/>
    <col min="13566" max="13567" width="8.28515625" customWidth="1"/>
    <col min="13568" max="13568" width="8.140625" customWidth="1"/>
    <col min="13569" max="13569" width="10.140625" customWidth="1"/>
    <col min="13570" max="13570" width="10.85546875" customWidth="1"/>
    <col min="13571" max="13571" width="12.28515625" bestFit="1" customWidth="1"/>
    <col min="13819" max="13819" width="5" customWidth="1"/>
    <col min="13820" max="13820" width="13" customWidth="1"/>
    <col min="13821" max="13821" width="30.5703125" customWidth="1"/>
    <col min="13822" max="13823" width="8.28515625" customWidth="1"/>
    <col min="13824" max="13824" width="8.140625" customWidth="1"/>
    <col min="13825" max="13825" width="10.140625" customWidth="1"/>
    <col min="13826" max="13826" width="10.85546875" customWidth="1"/>
    <col min="13827" max="13827" width="12.28515625" bestFit="1" customWidth="1"/>
    <col min="14075" max="14075" width="5" customWidth="1"/>
    <col min="14076" max="14076" width="13" customWidth="1"/>
    <col min="14077" max="14077" width="30.5703125" customWidth="1"/>
    <col min="14078" max="14079" width="8.28515625" customWidth="1"/>
    <col min="14080" max="14080" width="8.140625" customWidth="1"/>
    <col min="14081" max="14081" width="10.140625" customWidth="1"/>
    <col min="14082" max="14082" width="10.85546875" customWidth="1"/>
    <col min="14083" max="14083" width="12.28515625" bestFit="1" customWidth="1"/>
    <col min="14331" max="14331" width="5" customWidth="1"/>
    <col min="14332" max="14332" width="13" customWidth="1"/>
    <col min="14333" max="14333" width="30.5703125" customWidth="1"/>
    <col min="14334" max="14335" width="8.28515625" customWidth="1"/>
    <col min="14336" max="14336" width="8.140625" customWidth="1"/>
    <col min="14337" max="14337" width="10.140625" customWidth="1"/>
    <col min="14338" max="14338" width="10.85546875" customWidth="1"/>
    <col min="14339" max="14339" width="12.28515625" bestFit="1" customWidth="1"/>
    <col min="14587" max="14587" width="5" customWidth="1"/>
    <col min="14588" max="14588" width="13" customWidth="1"/>
    <col min="14589" max="14589" width="30.5703125" customWidth="1"/>
    <col min="14590" max="14591" width="8.28515625" customWidth="1"/>
    <col min="14592" max="14592" width="8.140625" customWidth="1"/>
    <col min="14593" max="14593" width="10.140625" customWidth="1"/>
    <col min="14594" max="14594" width="10.85546875" customWidth="1"/>
    <col min="14595" max="14595" width="12.28515625" bestFit="1" customWidth="1"/>
    <col min="14843" max="14843" width="5" customWidth="1"/>
    <col min="14844" max="14844" width="13" customWidth="1"/>
    <col min="14845" max="14845" width="30.5703125" customWidth="1"/>
    <col min="14846" max="14847" width="8.28515625" customWidth="1"/>
    <col min="14848" max="14848" width="8.140625" customWidth="1"/>
    <col min="14849" max="14849" width="10.140625" customWidth="1"/>
    <col min="14850" max="14850" width="10.85546875" customWidth="1"/>
    <col min="14851" max="14851" width="12.28515625" bestFit="1" customWidth="1"/>
    <col min="15099" max="15099" width="5" customWidth="1"/>
    <col min="15100" max="15100" width="13" customWidth="1"/>
    <col min="15101" max="15101" width="30.5703125" customWidth="1"/>
    <col min="15102" max="15103" width="8.28515625" customWidth="1"/>
    <col min="15104" max="15104" width="8.140625" customWidth="1"/>
    <col min="15105" max="15105" width="10.140625" customWidth="1"/>
    <col min="15106" max="15106" width="10.85546875" customWidth="1"/>
    <col min="15107" max="15107" width="12.28515625" bestFit="1" customWidth="1"/>
    <col min="15355" max="15355" width="5" customWidth="1"/>
    <col min="15356" max="15356" width="13" customWidth="1"/>
    <col min="15357" max="15357" width="30.5703125" customWidth="1"/>
    <col min="15358" max="15359" width="8.28515625" customWidth="1"/>
    <col min="15360" max="15360" width="8.140625" customWidth="1"/>
    <col min="15361" max="15361" width="10.140625" customWidth="1"/>
    <col min="15362" max="15362" width="10.85546875" customWidth="1"/>
    <col min="15363" max="15363" width="12.28515625" bestFit="1" customWidth="1"/>
    <col min="15611" max="15611" width="5" customWidth="1"/>
    <col min="15612" max="15612" width="13" customWidth="1"/>
    <col min="15613" max="15613" width="30.5703125" customWidth="1"/>
    <col min="15614" max="15615" width="8.28515625" customWidth="1"/>
    <col min="15616" max="15616" width="8.140625" customWidth="1"/>
    <col min="15617" max="15617" width="10.140625" customWidth="1"/>
    <col min="15618" max="15618" width="10.85546875" customWidth="1"/>
    <col min="15619" max="15619" width="12.28515625" bestFit="1" customWidth="1"/>
    <col min="15867" max="15867" width="5" customWidth="1"/>
    <col min="15868" max="15868" width="13" customWidth="1"/>
    <col min="15869" max="15869" width="30.5703125" customWidth="1"/>
    <col min="15870" max="15871" width="8.28515625" customWidth="1"/>
    <col min="15872" max="15872" width="8.140625" customWidth="1"/>
    <col min="15873" max="15873" width="10.140625" customWidth="1"/>
    <col min="15874" max="15874" width="10.85546875" customWidth="1"/>
    <col min="15875" max="15875" width="12.28515625" bestFit="1" customWidth="1"/>
    <col min="16123" max="16123" width="5" customWidth="1"/>
    <col min="16124" max="16124" width="13" customWidth="1"/>
    <col min="16125" max="16125" width="30.5703125" customWidth="1"/>
    <col min="16126" max="16127" width="8.28515625" customWidth="1"/>
    <col min="16128" max="16128" width="8.140625" customWidth="1"/>
    <col min="16129" max="16129" width="10.140625" customWidth="1"/>
    <col min="16130" max="16130" width="10.85546875" customWidth="1"/>
    <col min="16131" max="16131" width="12.28515625" bestFit="1" customWidth="1"/>
  </cols>
  <sheetData>
    <row r="1" spans="1:13" ht="25.5" hidden="1" customHeight="1">
      <c r="A1" s="117" t="s">
        <v>4</v>
      </c>
      <c r="B1" s="117"/>
      <c r="C1" s="117"/>
      <c r="D1" s="117"/>
      <c r="E1" s="117"/>
      <c r="F1" s="117"/>
      <c r="G1" s="117"/>
    </row>
    <row r="2" spans="1:13" s="5" customFormat="1" ht="23.25" customHeight="1">
      <c r="A2" s="15" t="s">
        <v>106</v>
      </c>
    </row>
    <row r="3" spans="1:13" s="5" customFormat="1" ht="23.25" customHeight="1">
      <c r="A3" s="15" t="s">
        <v>46</v>
      </c>
    </row>
    <row r="4" spans="1:13" s="5" customFormat="1" ht="23.25" customHeight="1">
      <c r="A4" s="15" t="s">
        <v>48</v>
      </c>
    </row>
    <row r="5" spans="1:13" s="5" customFormat="1" ht="23.25" customHeight="1">
      <c r="A5" s="16" t="s">
        <v>107</v>
      </c>
      <c r="B5" s="17"/>
    </row>
    <row r="6" spans="1:13" s="5" customFormat="1" ht="23.25" customHeight="1">
      <c r="A6" s="15" t="s">
        <v>55</v>
      </c>
      <c r="M6" s="5" t="s">
        <v>44</v>
      </c>
    </row>
    <row r="7" spans="1:13" s="2" customFormat="1" ht="9.75" customHeight="1">
      <c r="A7" s="7"/>
      <c r="B7" s="7"/>
      <c r="C7" s="7"/>
      <c r="D7" s="7"/>
      <c r="E7" s="7"/>
      <c r="F7" s="7"/>
      <c r="G7" s="8"/>
    </row>
    <row r="8" spans="1:13" ht="43.5" customHeight="1">
      <c r="A8" s="18" t="s">
        <v>0</v>
      </c>
      <c r="B8" s="18" t="s">
        <v>1</v>
      </c>
      <c r="C8" s="18" t="s">
        <v>7</v>
      </c>
      <c r="D8" s="18" t="s">
        <v>6</v>
      </c>
      <c r="E8" s="19" t="s">
        <v>2</v>
      </c>
      <c r="F8" s="19" t="s">
        <v>3</v>
      </c>
      <c r="G8" s="19" t="s">
        <v>5</v>
      </c>
      <c r="H8" s="74" t="s">
        <v>49</v>
      </c>
    </row>
    <row r="9" spans="1:13" ht="32.25" customHeight="1">
      <c r="A9" s="68">
        <v>1</v>
      </c>
      <c r="B9" s="68" t="s">
        <v>109</v>
      </c>
      <c r="C9" s="68" t="s">
        <v>108</v>
      </c>
      <c r="D9" s="68">
        <v>0.874</v>
      </c>
      <c r="E9" s="121" t="s">
        <v>54</v>
      </c>
      <c r="F9" s="121">
        <v>9</v>
      </c>
      <c r="G9" s="121">
        <f>F9*6*D9</f>
        <v>47.195999999999998</v>
      </c>
      <c r="H9" s="82"/>
    </row>
    <row r="10" spans="1:13" ht="32.25" customHeight="1">
      <c r="A10" s="68">
        <v>2</v>
      </c>
      <c r="B10" s="68" t="s">
        <v>110</v>
      </c>
      <c r="C10" s="68" t="s">
        <v>111</v>
      </c>
      <c r="D10" s="68">
        <v>0.23799999999999999</v>
      </c>
      <c r="E10" s="121" t="s">
        <v>54</v>
      </c>
      <c r="F10" s="121">
        <v>9</v>
      </c>
      <c r="G10" s="121">
        <f t="shared" ref="G10:G19" si="0">F10*6*D10</f>
        <v>12.852</v>
      </c>
      <c r="H10" s="82"/>
    </row>
    <row r="11" spans="1:13" ht="32.25" customHeight="1">
      <c r="A11" s="68">
        <v>3</v>
      </c>
      <c r="B11" s="68" t="s">
        <v>112</v>
      </c>
      <c r="C11" s="68" t="s">
        <v>113</v>
      </c>
      <c r="D11" s="68">
        <v>0.23799999999999999</v>
      </c>
      <c r="E11" s="121" t="s">
        <v>54</v>
      </c>
      <c r="F11" s="121">
        <v>3</v>
      </c>
      <c r="G11" s="121">
        <f t="shared" si="0"/>
        <v>4.2839999999999998</v>
      </c>
      <c r="H11" s="82"/>
    </row>
    <row r="12" spans="1:13" ht="32.25" customHeight="1">
      <c r="A12" s="68">
        <v>4</v>
      </c>
      <c r="B12" s="68" t="s">
        <v>114</v>
      </c>
      <c r="C12" s="68" t="s">
        <v>67</v>
      </c>
      <c r="D12" s="68">
        <v>0.88700000000000001</v>
      </c>
      <c r="E12" s="121" t="s">
        <v>54</v>
      </c>
      <c r="F12" s="121">
        <v>10</v>
      </c>
      <c r="G12" s="121">
        <f t="shared" si="0"/>
        <v>53.22</v>
      </c>
      <c r="H12" s="82"/>
    </row>
    <row r="13" spans="1:13" ht="32.25" customHeight="1">
      <c r="A13" s="68">
        <v>5</v>
      </c>
      <c r="B13" s="68" t="s">
        <v>254</v>
      </c>
      <c r="C13" s="68" t="s">
        <v>255</v>
      </c>
      <c r="D13" s="68">
        <v>1.1259999999999999</v>
      </c>
      <c r="E13" s="121" t="s">
        <v>54</v>
      </c>
      <c r="F13" s="121">
        <v>10</v>
      </c>
      <c r="G13" s="121">
        <f t="shared" si="0"/>
        <v>67.559999999999988</v>
      </c>
      <c r="H13" s="82" t="s">
        <v>256</v>
      </c>
    </row>
    <row r="14" spans="1:13" ht="32.25" customHeight="1">
      <c r="A14" s="101">
        <v>6</v>
      </c>
      <c r="B14" s="101" t="s">
        <v>115</v>
      </c>
      <c r="C14" s="101" t="s">
        <v>116</v>
      </c>
      <c r="D14" s="101">
        <v>0.96599999999999997</v>
      </c>
      <c r="E14" s="102" t="s">
        <v>54</v>
      </c>
      <c r="F14" s="102">
        <v>1</v>
      </c>
      <c r="G14" s="121">
        <f t="shared" si="0"/>
        <v>5.7959999999999994</v>
      </c>
      <c r="H14" s="103" t="s">
        <v>122</v>
      </c>
    </row>
    <row r="15" spans="1:13" ht="32.25" customHeight="1">
      <c r="A15" s="68">
        <v>7</v>
      </c>
      <c r="B15" s="68" t="s">
        <v>117</v>
      </c>
      <c r="C15" s="68" t="s">
        <v>118</v>
      </c>
      <c r="D15" s="68">
        <v>1.125</v>
      </c>
      <c r="E15" s="121" t="s">
        <v>54</v>
      </c>
      <c r="F15" s="121">
        <v>7</v>
      </c>
      <c r="G15" s="121">
        <f t="shared" si="0"/>
        <v>47.25</v>
      </c>
      <c r="H15" s="82"/>
    </row>
    <row r="16" spans="1:13" ht="32.25" customHeight="1">
      <c r="A16" s="68">
        <v>8</v>
      </c>
      <c r="B16" s="68" t="s">
        <v>119</v>
      </c>
      <c r="C16" s="68" t="s">
        <v>120</v>
      </c>
      <c r="D16" s="68">
        <v>1.5149999999999999</v>
      </c>
      <c r="E16" s="121" t="s">
        <v>54</v>
      </c>
      <c r="F16" s="121">
        <v>8</v>
      </c>
      <c r="G16" s="121">
        <f t="shared" si="0"/>
        <v>72.72</v>
      </c>
      <c r="H16" s="100" t="s">
        <v>121</v>
      </c>
    </row>
    <row r="17" spans="1:8" ht="32.25" customHeight="1">
      <c r="A17" s="68">
        <v>9</v>
      </c>
      <c r="B17" s="68" t="s">
        <v>123</v>
      </c>
      <c r="C17" s="68" t="s">
        <v>124</v>
      </c>
      <c r="D17" s="68">
        <v>0.878</v>
      </c>
      <c r="E17" s="121" t="s">
        <v>54</v>
      </c>
      <c r="F17" s="121">
        <v>1</v>
      </c>
      <c r="G17" s="121">
        <f t="shared" si="0"/>
        <v>5.2679999999999998</v>
      </c>
      <c r="H17" s="82"/>
    </row>
    <row r="18" spans="1:8" ht="32.25" customHeight="1">
      <c r="A18" s="101">
        <v>10</v>
      </c>
      <c r="B18" s="101" t="s">
        <v>125</v>
      </c>
      <c r="C18" s="101" t="s">
        <v>126</v>
      </c>
      <c r="D18" s="101">
        <v>1.01</v>
      </c>
      <c r="E18" s="102" t="s">
        <v>54</v>
      </c>
      <c r="F18" s="102">
        <v>1</v>
      </c>
      <c r="G18" s="121">
        <f t="shared" si="0"/>
        <v>6.0600000000000005</v>
      </c>
      <c r="H18" s="103" t="s">
        <v>122</v>
      </c>
    </row>
    <row r="19" spans="1:8" ht="32.25" customHeight="1">
      <c r="A19" s="68">
        <v>11</v>
      </c>
      <c r="B19" s="68" t="s">
        <v>127</v>
      </c>
      <c r="C19" s="68" t="s">
        <v>128</v>
      </c>
      <c r="D19" s="68">
        <v>1.125</v>
      </c>
      <c r="E19" s="121" t="s">
        <v>54</v>
      </c>
      <c r="F19" s="121">
        <v>1</v>
      </c>
      <c r="G19" s="121">
        <f t="shared" si="0"/>
        <v>6.75</v>
      </c>
      <c r="H19" s="82"/>
    </row>
    <row r="20" spans="1:8" ht="43.5" customHeight="1">
      <c r="A20" s="116"/>
      <c r="B20" s="125" t="s">
        <v>50</v>
      </c>
      <c r="C20" s="125"/>
      <c r="D20" s="125"/>
      <c r="E20" s="125"/>
      <c r="F20" s="116">
        <f>SUM(F9:F19)</f>
        <v>60</v>
      </c>
      <c r="G20" s="70">
        <f>SUM(G9:G19)</f>
        <v>328.95599999999996</v>
      </c>
      <c r="H20" s="75"/>
    </row>
    <row r="21" spans="1:8" ht="6" customHeight="1">
      <c r="A21" s="3"/>
      <c r="B21" s="4"/>
      <c r="C21" s="4"/>
      <c r="D21" s="4"/>
      <c r="E21" s="4"/>
      <c r="F21" s="4"/>
      <c r="G21" s="4"/>
    </row>
    <row r="22" spans="1:8" ht="24.75" customHeight="1">
      <c r="A22" s="9"/>
      <c r="B22" s="10"/>
      <c r="C22" s="118"/>
      <c r="D22" s="118"/>
      <c r="E22" s="118"/>
      <c r="F22" s="118"/>
      <c r="G22" s="118"/>
    </row>
    <row r="23" spans="1:8" ht="24.75" customHeight="1">
      <c r="A23" s="3"/>
      <c r="B23" s="4"/>
      <c r="C23" s="4"/>
      <c r="D23" s="4"/>
      <c r="E23" s="4"/>
      <c r="F23" s="4"/>
      <c r="G23" s="4"/>
    </row>
    <row r="24" spans="1:8" ht="17.25" customHeight="1">
      <c r="A24" s="64"/>
      <c r="B24" s="64"/>
      <c r="C24" s="64"/>
      <c r="D24" s="64"/>
      <c r="E24" s="64"/>
      <c r="F24" s="64"/>
      <c r="G24" s="64"/>
    </row>
    <row r="25" spans="1:8" s="1" customFormat="1" ht="17.25" customHeight="1">
      <c r="A25" s="63"/>
      <c r="B25" s="63"/>
      <c r="C25" s="63"/>
      <c r="D25" s="63"/>
      <c r="E25" s="63"/>
      <c r="F25" s="63"/>
      <c r="G25" s="63"/>
    </row>
    <row r="26" spans="1:8" ht="20.25" customHeight="1">
      <c r="A26" s="4"/>
      <c r="B26" s="4"/>
      <c r="C26" s="4"/>
      <c r="D26" s="4"/>
      <c r="E26" s="4"/>
      <c r="F26" s="4"/>
      <c r="G26" s="4"/>
    </row>
    <row r="27" spans="1:8" ht="26.25" customHeight="1">
      <c r="A27" s="3"/>
      <c r="B27" s="4"/>
      <c r="C27" s="4"/>
      <c r="D27" s="4"/>
      <c r="E27" s="4"/>
      <c r="F27" s="4"/>
      <c r="G27" s="4"/>
    </row>
    <row r="28" spans="1:8" ht="26.25" customHeight="1">
      <c r="A28" s="3"/>
      <c r="B28" s="4"/>
      <c r="C28" s="4"/>
      <c r="D28" s="4"/>
      <c r="E28" s="4"/>
      <c r="F28" s="4"/>
      <c r="G28" s="4"/>
    </row>
    <row r="29" spans="1:8" ht="26.25" customHeight="1">
      <c r="A29" s="3"/>
      <c r="B29" s="4"/>
      <c r="C29" s="4"/>
      <c r="D29" s="4"/>
      <c r="E29" s="4"/>
      <c r="F29" s="4"/>
      <c r="G29" s="4"/>
    </row>
    <row r="30" spans="1:8" ht="26.25" customHeight="1">
      <c r="A30" s="3"/>
      <c r="B30" s="4"/>
      <c r="C30" s="4"/>
      <c r="D30" s="4"/>
      <c r="E30" s="4"/>
      <c r="F30" s="4"/>
      <c r="G30" s="4"/>
    </row>
    <row r="31" spans="1:8" ht="26.25" customHeight="1">
      <c r="A31" s="3"/>
      <c r="B31" s="4"/>
      <c r="C31" s="4"/>
      <c r="D31" s="4"/>
      <c r="E31" s="4"/>
      <c r="F31" s="4"/>
      <c r="G31" s="4"/>
    </row>
    <row r="32" spans="1:8" ht="26.25" customHeight="1">
      <c r="A32" s="3"/>
      <c r="B32" s="4"/>
      <c r="C32" s="4"/>
      <c r="D32" s="4"/>
      <c r="E32" s="4"/>
      <c r="F32" s="4"/>
      <c r="G32" s="4"/>
    </row>
    <row r="33" spans="1:7" ht="15.75">
      <c r="A33" s="3"/>
      <c r="B33" s="4"/>
      <c r="C33" s="4"/>
      <c r="D33" s="4"/>
      <c r="E33" s="4"/>
      <c r="F33" s="4"/>
      <c r="G33" s="4"/>
    </row>
    <row r="34" spans="1:7" ht="15.75">
      <c r="A34" s="3"/>
      <c r="B34" s="4"/>
      <c r="C34" s="4"/>
      <c r="D34" s="4"/>
      <c r="E34" s="4"/>
      <c r="F34" s="4"/>
      <c r="G34" s="4"/>
    </row>
    <row r="35" spans="1:7" ht="15.75">
      <c r="A35" s="3"/>
      <c r="B35" s="4"/>
      <c r="C35" s="4"/>
      <c r="D35" s="4"/>
      <c r="E35" s="4"/>
      <c r="F35" s="4"/>
      <c r="G35" s="4"/>
    </row>
    <row r="36" spans="1:7" ht="15.75">
      <c r="A36" s="3"/>
      <c r="B36" s="4"/>
      <c r="C36" s="4"/>
      <c r="D36" s="4"/>
      <c r="E36" s="4"/>
      <c r="F36" s="4"/>
      <c r="G36" s="4"/>
    </row>
    <row r="37" spans="1:7" ht="15.75">
      <c r="A37" s="3"/>
      <c r="B37" s="4"/>
      <c r="C37" s="4"/>
      <c r="D37" s="4"/>
      <c r="E37" s="4"/>
      <c r="F37" s="4"/>
      <c r="G37" s="4"/>
    </row>
    <row r="38" spans="1:7" ht="15.75">
      <c r="A38" s="3"/>
      <c r="B38" s="4"/>
      <c r="C38" s="4"/>
      <c r="D38" s="4"/>
      <c r="E38" s="4"/>
      <c r="F38" s="4"/>
      <c r="G38" s="4"/>
    </row>
    <row r="39" spans="1:7">
      <c r="A39"/>
    </row>
    <row r="40" spans="1:7">
      <c r="A40"/>
    </row>
  </sheetData>
  <mergeCells count="1">
    <mergeCell ref="B20:E20"/>
  </mergeCells>
  <pageMargins left="0.42" right="0.46" top="0.22" bottom="0.75" header="0.19" footer="0.66"/>
  <pageSetup paperSize="9"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zoomScale="86" zoomScaleNormal="86" workbookViewId="0">
      <selection activeCell="J18" sqref="J18"/>
    </sheetView>
  </sheetViews>
  <sheetFormatPr defaultRowHeight="15"/>
  <cols>
    <col min="1" max="1" width="7" customWidth="1"/>
    <col min="2" max="2" width="23.85546875" customWidth="1"/>
    <col min="3" max="3" width="46.42578125" customWidth="1"/>
    <col min="4" max="5" width="11.42578125" customWidth="1"/>
    <col min="6" max="6" width="19.5703125" customWidth="1"/>
  </cols>
  <sheetData>
    <row r="1" spans="1:8" ht="18.75">
      <c r="A1" s="126" t="s">
        <v>51</v>
      </c>
      <c r="B1" s="126"/>
      <c r="C1" s="126"/>
      <c r="D1" s="126"/>
      <c r="E1" s="126"/>
      <c r="F1" s="126"/>
    </row>
    <row r="2" spans="1:8" ht="20.25">
      <c r="A2" s="22"/>
      <c r="B2" s="127" t="s">
        <v>251</v>
      </c>
      <c r="C2" s="127"/>
      <c r="D2" s="127"/>
      <c r="E2" s="127"/>
      <c r="F2" s="127"/>
    </row>
    <row r="3" spans="1:8" ht="23.25" customHeight="1">
      <c r="A3" s="15" t="s">
        <v>249</v>
      </c>
      <c r="B3" s="5"/>
      <c r="C3" s="5"/>
      <c r="D3" s="5"/>
      <c r="E3" s="5"/>
      <c r="F3" s="5"/>
      <c r="G3" s="5"/>
      <c r="H3" s="5"/>
    </row>
    <row r="4" spans="1:8" ht="23.25" customHeight="1">
      <c r="A4" s="15" t="s">
        <v>13</v>
      </c>
      <c r="B4" s="5"/>
      <c r="C4" s="5"/>
      <c r="D4" s="5"/>
      <c r="E4" s="5"/>
      <c r="F4" s="5"/>
      <c r="G4" s="5"/>
      <c r="H4" s="5"/>
    </row>
    <row r="5" spans="1:8" ht="23.25" customHeight="1">
      <c r="A5" s="15" t="s">
        <v>61</v>
      </c>
      <c r="B5" s="5"/>
      <c r="C5" s="5"/>
      <c r="D5" s="5"/>
      <c r="E5" s="5"/>
      <c r="F5" s="5"/>
      <c r="G5" s="5"/>
      <c r="H5" s="5"/>
    </row>
    <row r="6" spans="1:8" ht="23.25" customHeight="1">
      <c r="A6" s="15" t="s">
        <v>53</v>
      </c>
      <c r="B6" s="5"/>
      <c r="C6" s="5"/>
      <c r="D6" s="5"/>
      <c r="E6" s="5"/>
      <c r="F6" s="5"/>
      <c r="G6" s="5"/>
      <c r="H6" s="5"/>
    </row>
    <row r="7" spans="1:8" ht="23.25" customHeight="1">
      <c r="A7" s="15" t="s">
        <v>252</v>
      </c>
      <c r="B7" s="5"/>
      <c r="C7" s="5"/>
      <c r="D7" s="5"/>
      <c r="E7" s="5"/>
      <c r="F7" s="5"/>
      <c r="G7" s="5"/>
      <c r="H7" s="5"/>
    </row>
    <row r="8" spans="1:8">
      <c r="A8" s="23"/>
      <c r="B8" s="23"/>
      <c r="C8" s="23"/>
      <c r="D8" s="23"/>
      <c r="E8" s="24"/>
      <c r="F8" s="24"/>
      <c r="G8" s="2"/>
      <c r="H8" s="2"/>
    </row>
    <row r="9" spans="1:8" ht="39.75" customHeight="1">
      <c r="A9" s="25" t="s">
        <v>0</v>
      </c>
      <c r="B9" s="25" t="s">
        <v>9</v>
      </c>
      <c r="C9" s="25" t="s">
        <v>1</v>
      </c>
      <c r="D9" s="26" t="s">
        <v>2</v>
      </c>
      <c r="E9" s="26" t="s">
        <v>3</v>
      </c>
      <c r="F9" s="26" t="s">
        <v>47</v>
      </c>
      <c r="G9" s="20"/>
      <c r="H9" s="20"/>
    </row>
    <row r="10" spans="1:8" ht="41.25" customHeight="1">
      <c r="A10" s="62">
        <v>1</v>
      </c>
      <c r="B10" s="62" t="s">
        <v>230</v>
      </c>
      <c r="C10" s="62" t="s">
        <v>231</v>
      </c>
      <c r="D10" s="62" t="s">
        <v>232</v>
      </c>
      <c r="E10" s="61">
        <v>40</v>
      </c>
      <c r="F10" s="62"/>
      <c r="G10" s="20"/>
      <c r="H10" s="20"/>
    </row>
    <row r="11" spans="1:8" ht="41.25" customHeight="1">
      <c r="A11" s="62">
        <v>2</v>
      </c>
      <c r="B11" s="67" t="s">
        <v>233</v>
      </c>
      <c r="C11" s="62" t="s">
        <v>234</v>
      </c>
      <c r="D11" s="115" t="s">
        <v>232</v>
      </c>
      <c r="E11" s="83">
        <f>E10+E12+E13*3+E14+E15*3</f>
        <v>298</v>
      </c>
      <c r="F11" s="62"/>
      <c r="G11" s="20"/>
      <c r="H11" s="20"/>
    </row>
    <row r="12" spans="1:8" ht="41.25" customHeight="1">
      <c r="A12" s="115">
        <v>3</v>
      </c>
      <c r="B12" s="67" t="s">
        <v>235</v>
      </c>
      <c r="C12" s="62" t="s">
        <v>236</v>
      </c>
      <c r="D12" s="115" t="s">
        <v>232</v>
      </c>
      <c r="E12" s="62">
        <v>10</v>
      </c>
      <c r="F12" s="62"/>
      <c r="G12" s="20"/>
      <c r="H12" s="20"/>
    </row>
    <row r="13" spans="1:8" ht="41.25" customHeight="1">
      <c r="A13" s="115">
        <v>4</v>
      </c>
      <c r="B13" s="67" t="s">
        <v>237</v>
      </c>
      <c r="C13" s="115" t="s">
        <v>238</v>
      </c>
      <c r="D13" s="115" t="s">
        <v>232</v>
      </c>
      <c r="E13" s="83">
        <v>20</v>
      </c>
      <c r="F13" s="62"/>
      <c r="G13" s="20"/>
      <c r="H13" s="20"/>
    </row>
    <row r="14" spans="1:8" ht="41.25" customHeight="1">
      <c r="A14" s="115">
        <v>5</v>
      </c>
      <c r="B14" s="67" t="s">
        <v>240</v>
      </c>
      <c r="C14" s="73" t="s">
        <v>239</v>
      </c>
      <c r="D14" s="115" t="s">
        <v>232</v>
      </c>
      <c r="E14" s="62">
        <v>44</v>
      </c>
      <c r="F14" s="62"/>
      <c r="G14" s="20"/>
      <c r="H14" s="20"/>
    </row>
    <row r="15" spans="1:8" ht="41.25" customHeight="1">
      <c r="A15" s="115">
        <v>6</v>
      </c>
      <c r="B15" s="67" t="s">
        <v>241</v>
      </c>
      <c r="C15" s="73" t="s">
        <v>242</v>
      </c>
      <c r="D15" s="115" t="s">
        <v>232</v>
      </c>
      <c r="E15" s="62">
        <f>12*4</f>
        <v>48</v>
      </c>
      <c r="F15" s="62"/>
      <c r="G15" s="20"/>
      <c r="H15" s="20"/>
    </row>
    <row r="16" spans="1:8" ht="41.25" customHeight="1">
      <c r="A16" s="115">
        <v>7</v>
      </c>
      <c r="B16" s="67" t="s">
        <v>243</v>
      </c>
      <c r="C16" s="73" t="s">
        <v>244</v>
      </c>
      <c r="D16" s="62" t="s">
        <v>245</v>
      </c>
      <c r="E16" s="62">
        <v>1</v>
      </c>
      <c r="F16" s="62"/>
      <c r="G16" s="20"/>
      <c r="H16" s="20"/>
    </row>
    <row r="17" spans="1:8" ht="41.25" customHeight="1">
      <c r="A17" s="115">
        <v>8</v>
      </c>
      <c r="B17" s="67" t="s">
        <v>246</v>
      </c>
      <c r="C17" s="73" t="s">
        <v>247</v>
      </c>
      <c r="D17" s="115" t="s">
        <v>248</v>
      </c>
      <c r="E17" s="115">
        <v>5</v>
      </c>
      <c r="F17" s="115"/>
      <c r="G17" s="20"/>
      <c r="H17" s="20"/>
    </row>
    <row r="18" spans="1:8" ht="46.5" customHeight="1">
      <c r="A18" s="62"/>
      <c r="B18" s="67"/>
      <c r="C18" s="73"/>
      <c r="D18" s="61"/>
      <c r="E18" s="62"/>
      <c r="F18" s="62"/>
      <c r="G18" s="20"/>
      <c r="H18" s="20"/>
    </row>
    <row r="19" spans="1:8">
      <c r="A19" s="2"/>
    </row>
    <row r="20" spans="1:8" ht="15.75">
      <c r="A20" s="27"/>
      <c r="B20" s="28"/>
      <c r="C20" s="128" t="s">
        <v>250</v>
      </c>
      <c r="D20" s="128"/>
      <c r="E20" s="128"/>
      <c r="F20" s="128"/>
    </row>
    <row r="21" spans="1:8" ht="18.75">
      <c r="A21" s="129" t="s">
        <v>11</v>
      </c>
      <c r="B21" s="129"/>
      <c r="C21" s="129"/>
      <c r="D21" s="129"/>
      <c r="E21" s="129"/>
      <c r="F21" s="129"/>
    </row>
    <row r="22" spans="1:8" ht="18.75" customHeight="1">
      <c r="A22" s="130"/>
      <c r="B22" s="130"/>
      <c r="C22" s="130"/>
      <c r="D22" s="130"/>
      <c r="E22" s="130"/>
      <c r="F22" s="130"/>
      <c r="G22" s="1"/>
    </row>
  </sheetData>
  <mergeCells count="5">
    <mergeCell ref="A1:F1"/>
    <mergeCell ref="B2:F2"/>
    <mergeCell ref="C20:F20"/>
    <mergeCell ref="A21:F21"/>
    <mergeCell ref="A22:F22"/>
  </mergeCells>
  <pageMargins left="0.7" right="0.7" top="0.75" bottom="0.75" header="0.3" footer="0.3"/>
  <pageSetup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topLeftCell="A16" zoomScale="77" zoomScaleNormal="77" workbookViewId="0">
      <selection activeCell="G25" sqref="G25"/>
    </sheetView>
  </sheetViews>
  <sheetFormatPr defaultRowHeight="15"/>
  <cols>
    <col min="1" max="1" width="7" customWidth="1"/>
    <col min="2" max="2" width="23.28515625" customWidth="1"/>
    <col min="3" max="3" width="37" customWidth="1"/>
    <col min="4" max="4" width="9.28515625" customWidth="1"/>
    <col min="5" max="5" width="10.140625" customWidth="1"/>
    <col min="6" max="6" width="19.5703125" customWidth="1"/>
  </cols>
  <sheetData>
    <row r="1" spans="1:8" ht="18.75">
      <c r="A1" s="135" t="s">
        <v>59</v>
      </c>
      <c r="B1" s="135"/>
      <c r="C1" s="135"/>
      <c r="D1" s="135"/>
      <c r="E1" s="135"/>
      <c r="F1" s="135"/>
    </row>
    <row r="2" spans="1:8" ht="20.25">
      <c r="A2" s="22"/>
      <c r="B2" s="127" t="s">
        <v>251</v>
      </c>
      <c r="C2" s="127"/>
      <c r="D2" s="127"/>
      <c r="E2" s="127"/>
      <c r="F2" s="127"/>
    </row>
    <row r="3" spans="1:8" ht="23.25" customHeight="1">
      <c r="A3" s="15" t="s">
        <v>253</v>
      </c>
      <c r="B3" s="5"/>
      <c r="C3" s="5"/>
      <c r="D3" s="5"/>
      <c r="E3" s="5"/>
      <c r="F3" s="5"/>
      <c r="G3" s="5"/>
      <c r="H3" s="5"/>
    </row>
    <row r="4" spans="1:8" ht="23.25" customHeight="1">
      <c r="A4" s="15" t="s">
        <v>13</v>
      </c>
      <c r="B4" s="5"/>
      <c r="C4" s="5"/>
      <c r="D4" s="5"/>
      <c r="E4" s="5"/>
      <c r="F4" s="5"/>
      <c r="G4" s="5"/>
      <c r="H4" s="5"/>
    </row>
    <row r="5" spans="1:8" ht="23.25" customHeight="1">
      <c r="A5" s="15" t="s">
        <v>62</v>
      </c>
      <c r="B5" s="5"/>
      <c r="C5" s="5"/>
      <c r="D5" s="5"/>
      <c r="E5" s="5"/>
      <c r="F5" s="5"/>
      <c r="G5" s="5"/>
      <c r="H5" s="5"/>
    </row>
    <row r="6" spans="1:8" ht="23.25" customHeight="1">
      <c r="A6" s="15" t="s">
        <v>8</v>
      </c>
      <c r="B6" s="5"/>
      <c r="C6" s="5"/>
      <c r="D6" s="5"/>
      <c r="E6" s="5"/>
      <c r="F6" s="5"/>
      <c r="G6" s="5"/>
      <c r="H6" s="5"/>
    </row>
    <row r="7" spans="1:8" ht="23.25" customHeight="1">
      <c r="A7" s="15" t="s">
        <v>63</v>
      </c>
      <c r="B7" s="5"/>
      <c r="C7" s="5"/>
      <c r="D7" s="5"/>
      <c r="E7" s="5"/>
      <c r="F7" s="5"/>
      <c r="G7" s="5"/>
      <c r="H7" s="5"/>
    </row>
    <row r="8" spans="1:8">
      <c r="A8" s="23"/>
      <c r="B8" s="23"/>
      <c r="C8" s="23"/>
      <c r="D8" s="23"/>
      <c r="E8" s="24"/>
      <c r="F8" s="24"/>
      <c r="G8" s="2"/>
      <c r="H8" s="2"/>
    </row>
    <row r="9" spans="1:8" ht="25.5" customHeight="1">
      <c r="A9" s="25" t="s">
        <v>0</v>
      </c>
      <c r="B9" s="25" t="s">
        <v>9</v>
      </c>
      <c r="C9" s="25" t="s">
        <v>1</v>
      </c>
      <c r="D9" s="26" t="s">
        <v>2</v>
      </c>
      <c r="E9" s="26" t="s">
        <v>3</v>
      </c>
      <c r="F9" s="26" t="s">
        <v>47</v>
      </c>
      <c r="G9" s="20"/>
      <c r="H9" s="20"/>
    </row>
    <row r="10" spans="1:8" ht="52.5" customHeight="1">
      <c r="A10" s="121"/>
      <c r="B10" s="131" t="s">
        <v>200</v>
      </c>
      <c r="C10" s="131"/>
      <c r="D10" s="120" t="s">
        <v>57</v>
      </c>
      <c r="E10" s="120">
        <v>5</v>
      </c>
      <c r="F10" s="119"/>
      <c r="G10" s="20"/>
      <c r="H10" s="20"/>
    </row>
    <row r="11" spans="1:8" ht="35.25" customHeight="1">
      <c r="A11" s="121">
        <v>1</v>
      </c>
      <c r="B11" s="93" t="s">
        <v>191</v>
      </c>
      <c r="C11" s="104" t="str">
        <f>VLOOKUP(B11,[1]TỔNG!$D$3:$Q$242,2,0)</f>
        <v>Tay nắm cửa đi (VR2)</v>
      </c>
      <c r="D11" s="97" t="s">
        <v>58</v>
      </c>
      <c r="E11" s="121">
        <v>5</v>
      </c>
      <c r="F11" s="119"/>
      <c r="G11" s="20"/>
      <c r="H11" s="20"/>
    </row>
    <row r="12" spans="1:8" ht="35.25" customHeight="1">
      <c r="A12" s="121">
        <v>2</v>
      </c>
      <c r="B12" s="93" t="s">
        <v>201</v>
      </c>
      <c r="C12" s="104" t="str">
        <f>VLOOKUP(B12,[1]TỔNG!$D$3:$Q$242,2,0)</f>
        <v>Bản lề khung - cánh (VRA) - L</v>
      </c>
      <c r="D12" s="97" t="s">
        <v>196</v>
      </c>
      <c r="E12" s="121">
        <v>9</v>
      </c>
      <c r="F12" s="119"/>
      <c r="G12" s="20"/>
      <c r="H12" s="20"/>
    </row>
    <row r="13" spans="1:8" ht="35.25" customHeight="1">
      <c r="A13" s="121">
        <v>3</v>
      </c>
      <c r="B13" s="93" t="s">
        <v>206</v>
      </c>
      <c r="C13" s="104" t="str">
        <f>VLOOKUP(B13,[1]TỔNG!$D$3:$Q$242,2,0)</f>
        <v>Bản lề khung - cánh (VRA) - R</v>
      </c>
      <c r="D13" s="97" t="s">
        <v>196</v>
      </c>
      <c r="E13" s="121">
        <v>6</v>
      </c>
      <c r="F13" s="119"/>
      <c r="G13" s="20"/>
      <c r="H13" s="20"/>
    </row>
    <row r="14" spans="1:8" ht="35.25" customHeight="1">
      <c r="A14" s="121">
        <v>4</v>
      </c>
      <c r="B14" s="93" t="s">
        <v>202</v>
      </c>
      <c r="C14" s="104" t="str">
        <f>VLOOKUP(B14,[1]TỔNG!$D$3:$Q$242,2,0)</f>
        <v>Thân khóa đa điểm 85/30 (VRA)</v>
      </c>
      <c r="D14" s="97" t="s">
        <v>196</v>
      </c>
      <c r="E14" s="121">
        <v>5</v>
      </c>
      <c r="F14" s="119"/>
      <c r="G14" s="20"/>
      <c r="H14" s="20"/>
    </row>
    <row r="15" spans="1:8" ht="35.25" customHeight="1">
      <c r="A15" s="121">
        <v>5</v>
      </c>
      <c r="B15" s="93" t="s">
        <v>207</v>
      </c>
      <c r="C15" s="104" t="str">
        <f>VLOOKUP(B15,[1]TỔNG!$D$3:$Q$242,2,0)</f>
        <v>Lõi khóa mở ngoài VRA55
32.5/47.5</v>
      </c>
      <c r="D15" s="97" t="s">
        <v>197</v>
      </c>
      <c r="E15" s="121">
        <v>5</v>
      </c>
      <c r="F15" s="105" t="s">
        <v>198</v>
      </c>
      <c r="G15" s="20"/>
      <c r="H15" s="20"/>
    </row>
    <row r="16" spans="1:8" ht="35.25" customHeight="1">
      <c r="A16" s="121">
        <v>6</v>
      </c>
      <c r="B16" s="93" t="s">
        <v>203</v>
      </c>
      <c r="C16" s="104" t="str">
        <f>VLOOKUP(B16,[1]TỔNG!$D$3:$Q$242,2,0)</f>
        <v>Trục &amp; ốc vít (VRA50)</v>
      </c>
      <c r="D16" s="97" t="s">
        <v>199</v>
      </c>
      <c r="E16" s="121">
        <v>5</v>
      </c>
      <c r="F16" s="119"/>
      <c r="G16" s="20"/>
      <c r="H16" s="20"/>
    </row>
    <row r="17" spans="1:8" ht="35.25" customHeight="1">
      <c r="A17" s="121">
        <v>7</v>
      </c>
      <c r="B17" s="93" t="s">
        <v>204</v>
      </c>
      <c r="C17" s="104" t="str">
        <f>VLOOKUP(B17,[1]TỔNG!$D$3:$Q$242,2,0)</f>
        <v>Miệng đón khóa (cửa đi 1 cánh) - VRA</v>
      </c>
      <c r="D17" s="97" t="s">
        <v>196</v>
      </c>
      <c r="E17" s="121">
        <v>5</v>
      </c>
      <c r="F17" s="119"/>
      <c r="G17" s="20"/>
      <c r="H17" s="20"/>
    </row>
    <row r="18" spans="1:8" ht="35.25" customHeight="1">
      <c r="A18" s="121">
        <v>8</v>
      </c>
      <c r="B18" s="93" t="s">
        <v>72</v>
      </c>
      <c r="C18" s="104" t="str">
        <f>VLOOKUP(B18,[1]TỔNG!$D$3:$Q$242,2,0)</f>
        <v>Đầu khóa biên trắng</v>
      </c>
      <c r="D18" s="97" t="s">
        <v>196</v>
      </c>
      <c r="E18" s="121">
        <v>10</v>
      </c>
      <c r="F18" s="119"/>
      <c r="G18" s="20"/>
      <c r="H18" s="20"/>
    </row>
    <row r="19" spans="1:8" ht="35.25" customHeight="1">
      <c r="A19" s="121">
        <v>9</v>
      </c>
      <c r="B19" s="93" t="s">
        <v>205</v>
      </c>
      <c r="C19" s="104" t="str">
        <f>VLOOKUP(B19,[1]TỔNG!$D$3:$Q$242,2,0)</f>
        <v>Vấu hãm cửa 1 cánh</v>
      </c>
      <c r="D19" s="97" t="s">
        <v>196</v>
      </c>
      <c r="E19" s="121">
        <v>10</v>
      </c>
      <c r="F19" s="121"/>
      <c r="G19" s="20"/>
      <c r="H19" s="20"/>
    </row>
    <row r="20" spans="1:8" ht="35.25" customHeight="1">
      <c r="A20" s="106"/>
      <c r="B20" s="131" t="s">
        <v>208</v>
      </c>
      <c r="C20" s="131"/>
      <c r="D20" s="120" t="s">
        <v>57</v>
      </c>
      <c r="E20" s="120">
        <v>1</v>
      </c>
      <c r="F20" s="106"/>
      <c r="G20" s="20"/>
      <c r="H20" s="20"/>
    </row>
    <row r="21" spans="1:8" ht="35.25" customHeight="1">
      <c r="A21" s="121">
        <v>1</v>
      </c>
      <c r="B21" s="93" t="s">
        <v>191</v>
      </c>
      <c r="C21" s="104" t="str">
        <f>VLOOKUP(B21,[1]TỔNG!$D$3:$Q$879,2,0)</f>
        <v>Tay nắm cửa đi (VR2)</v>
      </c>
      <c r="D21" s="97" t="s">
        <v>58</v>
      </c>
      <c r="E21" s="121">
        <v>1</v>
      </c>
      <c r="F21" s="106"/>
      <c r="G21" s="20"/>
      <c r="H21" s="20"/>
    </row>
    <row r="22" spans="1:8" ht="35.25" customHeight="1">
      <c r="A22" s="121">
        <v>2</v>
      </c>
      <c r="B22" s="93" t="s">
        <v>201</v>
      </c>
      <c r="C22" s="104" t="str">
        <f>VLOOKUP(B22,[1]TỔNG!$D$3:$Q$879,2,0)</f>
        <v>Bản lề khung - cánh (VRA) - L</v>
      </c>
      <c r="D22" s="97" t="s">
        <v>196</v>
      </c>
      <c r="E22" s="121">
        <v>3</v>
      </c>
      <c r="F22" s="106"/>
      <c r="G22" s="20"/>
      <c r="H22" s="20"/>
    </row>
    <row r="23" spans="1:8" ht="35.25" customHeight="1">
      <c r="A23" s="121">
        <v>3</v>
      </c>
      <c r="B23" s="93" t="s">
        <v>206</v>
      </c>
      <c r="C23" s="104" t="str">
        <f>VLOOKUP(B23,[1]TỔNG!$D$3:$Q$879,2,0)</f>
        <v>Bản lề khung - cánh (VRA) - R</v>
      </c>
      <c r="D23" s="97" t="s">
        <v>196</v>
      </c>
      <c r="E23" s="121">
        <v>3</v>
      </c>
      <c r="F23" s="106"/>
      <c r="G23" s="20"/>
      <c r="H23" s="20"/>
    </row>
    <row r="24" spans="1:8" ht="35.25" customHeight="1">
      <c r="A24" s="121">
        <v>4</v>
      </c>
      <c r="B24" s="93" t="s">
        <v>202</v>
      </c>
      <c r="C24" s="104" t="str">
        <f>VLOOKUP(B24,[1]TỔNG!$D$3:$Q$879,2,0)</f>
        <v>Thân khóa đa điểm 85/30 (VRA)</v>
      </c>
      <c r="D24" s="97" t="s">
        <v>196</v>
      </c>
      <c r="E24" s="121">
        <v>1</v>
      </c>
      <c r="F24" s="106"/>
      <c r="G24" s="20"/>
      <c r="H24" s="20"/>
    </row>
    <row r="25" spans="1:8" ht="35.25" customHeight="1">
      <c r="A25" s="121">
        <v>5</v>
      </c>
      <c r="B25" s="93" t="s">
        <v>207</v>
      </c>
      <c r="C25" s="104" t="str">
        <f>VLOOKUP(B25,[1]TỔNG!$D$3:$Q$879,2,0)</f>
        <v>Lõi khóa mở ngoài VRA55
32.5/47.5</v>
      </c>
      <c r="D25" s="97" t="s">
        <v>197</v>
      </c>
      <c r="E25" s="121">
        <v>1</v>
      </c>
      <c r="F25" s="105" t="s">
        <v>198</v>
      </c>
      <c r="G25" s="20"/>
      <c r="H25" s="20"/>
    </row>
    <row r="26" spans="1:8" ht="35.25" customHeight="1">
      <c r="A26" s="121">
        <v>6</v>
      </c>
      <c r="B26" s="93" t="s">
        <v>209</v>
      </c>
      <c r="C26" s="104" t="str">
        <f>VLOOKUP(B26,[1]TỔNG!$D$3:$Q$879,2,0)</f>
        <v>Trục &amp; ốc vít (VRA55)</v>
      </c>
      <c r="D26" s="97" t="s">
        <v>199</v>
      </c>
      <c r="E26" s="121">
        <v>1</v>
      </c>
      <c r="F26" s="106"/>
      <c r="G26" s="20"/>
      <c r="H26" s="20"/>
    </row>
    <row r="27" spans="1:8" ht="35.25" customHeight="1">
      <c r="A27" s="121">
        <v>7</v>
      </c>
      <c r="B27" s="93" t="s">
        <v>194</v>
      </c>
      <c r="C27" s="33" t="str">
        <f>VLOOKUP(B27,[1]TỔNG!$D$3:$Q$879,2,0)</f>
        <v>Miệng đón khóa điều chỉnh (cửa đi 2 cánh) - Chung với VRE</v>
      </c>
      <c r="D27" s="97" t="s">
        <v>196</v>
      </c>
      <c r="E27" s="121">
        <v>1</v>
      </c>
      <c r="F27" s="106"/>
      <c r="G27" s="20"/>
      <c r="H27" s="20"/>
    </row>
    <row r="28" spans="1:8" ht="35.25" customHeight="1">
      <c r="A28" s="121">
        <v>8</v>
      </c>
      <c r="B28" s="94" t="s">
        <v>73</v>
      </c>
      <c r="C28" s="104" t="str">
        <f>VLOOKUP(B28,[1]TỔNG!$D$3:$Q$879,2,0)</f>
        <v>Đầu biên chốt cánh phụ 90mm</v>
      </c>
      <c r="D28" s="132" t="s">
        <v>58</v>
      </c>
      <c r="E28" s="132">
        <v>1</v>
      </c>
      <c r="F28" s="106"/>
      <c r="G28" s="20"/>
      <c r="H28" s="20"/>
    </row>
    <row r="29" spans="1:8" ht="35.25" customHeight="1">
      <c r="A29" s="121">
        <v>9</v>
      </c>
      <c r="B29" s="94" t="s">
        <v>74</v>
      </c>
      <c r="C29" s="104" t="str">
        <f>VLOOKUP(B29,[1]TỔNG!$D$3:$Q$879,2,0)</f>
        <v>Móc chốt cánh phụ 130mm</v>
      </c>
      <c r="D29" s="133"/>
      <c r="E29" s="133"/>
      <c r="F29" s="106"/>
      <c r="G29" s="20"/>
      <c r="H29" s="20"/>
    </row>
    <row r="30" spans="1:8" ht="35.25" customHeight="1">
      <c r="A30" s="121">
        <v>10</v>
      </c>
      <c r="B30" s="94" t="s">
        <v>75</v>
      </c>
      <c r="C30" s="104" t="str">
        <f>VLOOKUP(B30,[1]TỔNG!$D$3:$Q$879,2,0)</f>
        <v>Đệm chốt cánh phụ</v>
      </c>
      <c r="D30" s="134"/>
      <c r="E30" s="134"/>
      <c r="F30" s="106"/>
      <c r="G30" s="20"/>
      <c r="H30" s="20"/>
    </row>
    <row r="31" spans="1:8" ht="35.25" customHeight="1">
      <c r="A31" s="121">
        <v>11</v>
      </c>
      <c r="B31" s="93" t="s">
        <v>72</v>
      </c>
      <c r="C31" s="104" t="str">
        <f>VLOOKUP(B31,[1]TỔNG!$D$3:$Q$879,2,0)</f>
        <v>Đầu khóa biên trắng</v>
      </c>
      <c r="D31" s="97" t="s">
        <v>196</v>
      </c>
      <c r="E31" s="121">
        <v>2</v>
      </c>
      <c r="F31" s="106"/>
      <c r="G31" s="20"/>
      <c r="H31" s="20"/>
    </row>
    <row r="32" spans="1:8" ht="35.25" customHeight="1">
      <c r="A32" s="121">
        <v>12</v>
      </c>
      <c r="B32" s="93" t="s">
        <v>210</v>
      </c>
      <c r="C32" s="104" t="str">
        <f>VLOOKUP(B32,[1]TỔNG!$D$3:$Q$879,2,0)</f>
        <v>Vấu cửa sổ rãnh C (Châu Âu)</v>
      </c>
      <c r="D32" s="97" t="s">
        <v>196</v>
      </c>
      <c r="E32" s="121">
        <v>2</v>
      </c>
      <c r="F32" s="106"/>
      <c r="G32" s="20"/>
      <c r="H32" s="20"/>
    </row>
    <row r="33" spans="1:8" ht="35.25" customHeight="1">
      <c r="A33" s="106"/>
      <c r="B33" s="131" t="s">
        <v>222</v>
      </c>
      <c r="C33" s="131"/>
      <c r="D33" s="120" t="s">
        <v>57</v>
      </c>
      <c r="E33" s="120">
        <v>12</v>
      </c>
      <c r="F33" s="106"/>
      <c r="G33" s="20"/>
      <c r="H33" s="20"/>
    </row>
    <row r="34" spans="1:8" ht="35.25" customHeight="1">
      <c r="A34" s="121">
        <v>1</v>
      </c>
      <c r="B34" s="92" t="s">
        <v>69</v>
      </c>
      <c r="C34" s="33" t="str">
        <f>VLOOKUP(B34,[1]TỔNG!$D$3:$Q$196,2,0)</f>
        <v>Tay nắm cửa sổ lưỡi gà (VR2)</v>
      </c>
      <c r="D34" s="97" t="s">
        <v>196</v>
      </c>
      <c r="E34" s="121">
        <v>12</v>
      </c>
      <c r="F34" s="106"/>
      <c r="G34" s="20"/>
      <c r="H34" s="20"/>
    </row>
    <row r="35" spans="1:8" ht="35.25" customHeight="1">
      <c r="A35" s="121">
        <v>2</v>
      </c>
      <c r="B35" s="93" t="s">
        <v>70</v>
      </c>
      <c r="C35" s="33" t="str">
        <f>VLOOKUP(B35,[1]TỔNG!$D$3:$Q$196,2,0)</f>
        <v>Bản lề A mở quay  rãnh 22 A12</v>
      </c>
      <c r="D35" s="121" t="s">
        <v>68</v>
      </c>
      <c r="E35" s="121">
        <v>12</v>
      </c>
      <c r="F35" s="106"/>
      <c r="G35" s="20"/>
      <c r="H35" s="20"/>
    </row>
    <row r="36" spans="1:8" ht="35.25" customHeight="1">
      <c r="A36" s="121">
        <v>3</v>
      </c>
      <c r="B36" s="111" t="s">
        <v>223</v>
      </c>
      <c r="C36" s="33" t="str">
        <f>VLOOKUP(B36,[1]TỔNG!$D$3:$Q$196,2,0)</f>
        <v>Chống gió rút (chống sao) - RÃNH K
dài 12 inch</v>
      </c>
      <c r="D36" s="121" t="s">
        <v>68</v>
      </c>
      <c r="E36" s="121">
        <v>12</v>
      </c>
      <c r="F36" s="106"/>
      <c r="G36" s="20"/>
      <c r="H36" s="20"/>
    </row>
    <row r="37" spans="1:8" ht="35.25" customHeight="1">
      <c r="A37" s="121">
        <v>4</v>
      </c>
      <c r="B37" s="93" t="s">
        <v>71</v>
      </c>
      <c r="C37" s="33" t="str">
        <f>VLOOKUP(B37,[1]TỔNG!$D$3:$Q$196,2,0)</f>
        <v>Đầu T trắng</v>
      </c>
      <c r="D37" s="132" t="s">
        <v>58</v>
      </c>
      <c r="E37" s="132">
        <v>12</v>
      </c>
      <c r="F37" s="132"/>
      <c r="G37" s="20"/>
      <c r="H37" s="20"/>
    </row>
    <row r="38" spans="1:8" ht="35.25" customHeight="1">
      <c r="A38" s="121">
        <v>5</v>
      </c>
      <c r="B38" s="93" t="s">
        <v>72</v>
      </c>
      <c r="C38" s="33" t="str">
        <f>VLOOKUP(B38,[1]TỔNG!$D$3:$Q$196,2,0)</f>
        <v>Đầu khóa biên trắng</v>
      </c>
      <c r="D38" s="133"/>
      <c r="E38" s="133"/>
      <c r="F38" s="133"/>
      <c r="G38" s="20"/>
      <c r="H38" s="20"/>
    </row>
    <row r="39" spans="1:8" ht="35.25" customHeight="1">
      <c r="A39" s="121">
        <v>6</v>
      </c>
      <c r="B39" s="93" t="s">
        <v>205</v>
      </c>
      <c r="C39" s="33" t="str">
        <f>VLOOKUP(B39,[1]TỔNG!$D$3:$Q$196,2,0)</f>
        <v>Vấu hãm cửa 1 cánh</v>
      </c>
      <c r="D39" s="134"/>
      <c r="E39" s="134"/>
      <c r="F39" s="134"/>
      <c r="G39" s="20"/>
      <c r="H39" s="20"/>
    </row>
    <row r="40" spans="1:8" ht="35.25" customHeight="1">
      <c r="A40" s="121">
        <v>8</v>
      </c>
      <c r="B40" s="112" t="s">
        <v>76</v>
      </c>
      <c r="C40" s="33" t="str">
        <f>VLOOKUP(B40,[1]TỔNG!$D$3:$Q$196,2,0)</f>
        <v>Đệm chống sệ</v>
      </c>
      <c r="D40" s="97" t="s">
        <v>196</v>
      </c>
      <c r="E40" s="121">
        <v>50</v>
      </c>
      <c r="F40" s="121"/>
      <c r="G40" s="20"/>
      <c r="H40" s="20"/>
    </row>
    <row r="41" spans="1:8" ht="36" customHeight="1">
      <c r="A41" s="121"/>
      <c r="B41" s="67"/>
      <c r="C41" s="33"/>
      <c r="D41" s="97"/>
      <c r="E41" s="121"/>
      <c r="F41" s="121"/>
      <c r="G41" s="20"/>
      <c r="H41" s="20"/>
    </row>
    <row r="42" spans="1:8">
      <c r="A42" s="2"/>
    </row>
    <row r="43" spans="1:8" ht="15.75">
      <c r="A43" s="27"/>
      <c r="B43" s="28"/>
      <c r="C43" s="128" t="s">
        <v>250</v>
      </c>
      <c r="D43" s="128"/>
      <c r="E43" s="128"/>
      <c r="F43" s="128"/>
    </row>
    <row r="44" spans="1:8" ht="18.75">
      <c r="A44" s="3"/>
      <c r="B44" s="4"/>
      <c r="C44" s="4"/>
      <c r="D44" s="4"/>
      <c r="E44" s="4"/>
      <c r="F44" s="29"/>
    </row>
    <row r="45" spans="1:8" ht="18.75">
      <c r="A45" s="30" t="s">
        <v>11</v>
      </c>
      <c r="B45" s="30"/>
      <c r="C45" s="30"/>
      <c r="D45" s="30"/>
      <c r="E45" s="30"/>
      <c r="F45" s="29"/>
    </row>
    <row r="46" spans="1:8" ht="18.75">
      <c r="A46" s="31" t="s">
        <v>12</v>
      </c>
      <c r="B46" s="32"/>
      <c r="C46" s="32"/>
      <c r="D46" s="32"/>
      <c r="E46" s="32"/>
      <c r="F46" s="29"/>
      <c r="G46" s="1"/>
    </row>
  </sheetData>
  <mergeCells count="11">
    <mergeCell ref="B10:C10"/>
    <mergeCell ref="B20:C20"/>
    <mergeCell ref="D28:D30"/>
    <mergeCell ref="E28:E30"/>
    <mergeCell ref="A1:F1"/>
    <mergeCell ref="B2:F2"/>
    <mergeCell ref="C43:F43"/>
    <mergeCell ref="B33:C33"/>
    <mergeCell ref="D37:D39"/>
    <mergeCell ref="E37:E39"/>
    <mergeCell ref="F37:F39"/>
  </mergeCells>
  <pageMargins left="0.7" right="0.7" top="0.75" bottom="0.75" header="0.3" footer="0.3"/>
  <pageSetup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14" zoomScale="118" zoomScaleNormal="118" workbookViewId="0">
      <selection activeCell="P23" sqref="O23:P23"/>
    </sheetView>
  </sheetViews>
  <sheetFormatPr defaultRowHeight="15"/>
  <cols>
    <col min="1" max="1" width="5.28515625" customWidth="1"/>
    <col min="2" max="2" width="24.5703125" customWidth="1"/>
    <col min="3" max="3" width="34.5703125" customWidth="1"/>
    <col min="4" max="5" width="7.28515625" customWidth="1"/>
    <col min="6" max="6" width="7.140625" customWidth="1"/>
    <col min="7" max="8" width="7.42578125" customWidth="1"/>
  </cols>
  <sheetData>
    <row r="1" spans="1:10" ht="15.75">
      <c r="A1" s="136" t="s">
        <v>14</v>
      </c>
      <c r="B1" s="136"/>
      <c r="C1" s="136"/>
      <c r="D1" s="136"/>
      <c r="E1" s="136"/>
      <c r="F1" s="136"/>
      <c r="G1" s="136"/>
      <c r="H1" s="136"/>
    </row>
    <row r="2" spans="1:10" ht="15.75">
      <c r="A2" s="7"/>
      <c r="B2" s="137" t="s">
        <v>65</v>
      </c>
      <c r="C2" s="137"/>
      <c r="D2" s="137"/>
      <c r="E2" s="137"/>
      <c r="F2" s="137"/>
      <c r="G2" s="137"/>
      <c r="H2" s="137"/>
    </row>
    <row r="3" spans="1:10" ht="21" customHeight="1">
      <c r="A3" s="15" t="s">
        <v>81</v>
      </c>
      <c r="B3" s="5"/>
      <c r="C3" s="5"/>
      <c r="D3" s="5"/>
      <c r="E3" s="5"/>
      <c r="F3" s="5"/>
      <c r="G3" s="5"/>
      <c r="H3" s="5"/>
      <c r="I3" s="5"/>
      <c r="J3" s="5"/>
    </row>
    <row r="4" spans="1:10" ht="21" customHeight="1">
      <c r="A4" s="15" t="s">
        <v>46</v>
      </c>
      <c r="B4" s="5"/>
      <c r="C4" s="5"/>
      <c r="D4" s="5"/>
      <c r="E4" s="5"/>
      <c r="F4" s="5"/>
      <c r="G4" s="5"/>
      <c r="H4" s="5"/>
      <c r="I4" s="5"/>
      <c r="J4" s="5"/>
    </row>
    <row r="5" spans="1:10" ht="21" customHeight="1">
      <c r="A5" s="15" t="s">
        <v>56</v>
      </c>
      <c r="B5" s="5"/>
      <c r="C5" s="5"/>
      <c r="D5" s="5"/>
      <c r="E5" s="5"/>
      <c r="F5" s="5"/>
      <c r="G5" s="5"/>
      <c r="H5" s="5"/>
      <c r="I5" s="5"/>
      <c r="J5" s="5"/>
    </row>
    <row r="6" spans="1:10" ht="21" customHeight="1">
      <c r="A6" s="16" t="s">
        <v>52</v>
      </c>
      <c r="B6" s="17"/>
      <c r="C6" s="5"/>
      <c r="D6" s="5"/>
      <c r="E6" s="5"/>
      <c r="F6" s="5"/>
      <c r="G6" s="5"/>
      <c r="H6" s="5"/>
      <c r="I6" s="5"/>
      <c r="J6" s="5"/>
    </row>
    <row r="7" spans="1:10" ht="18.75" customHeight="1">
      <c r="A7" s="15" t="s">
        <v>66</v>
      </c>
      <c r="B7" s="5"/>
      <c r="C7" s="5"/>
      <c r="D7" s="5"/>
      <c r="E7" s="5"/>
      <c r="F7" s="5"/>
      <c r="G7" s="5"/>
      <c r="H7" s="5"/>
      <c r="I7" s="5"/>
      <c r="J7" s="5"/>
    </row>
    <row r="8" spans="1:10" ht="15.75">
      <c r="A8" s="7"/>
      <c r="B8" s="7"/>
      <c r="C8" s="7"/>
      <c r="D8" s="7"/>
      <c r="E8" s="7"/>
      <c r="F8" s="7"/>
      <c r="G8" s="7"/>
      <c r="H8" s="8"/>
      <c r="I8" s="2"/>
      <c r="J8" s="2"/>
    </row>
    <row r="9" spans="1:10" ht="38.25" customHeight="1">
      <c r="A9" s="18" t="s">
        <v>0</v>
      </c>
      <c r="B9" s="18" t="s">
        <v>15</v>
      </c>
      <c r="C9" s="18" t="s">
        <v>16</v>
      </c>
      <c r="D9" s="19" t="s">
        <v>17</v>
      </c>
      <c r="E9" s="19" t="s">
        <v>18</v>
      </c>
      <c r="F9" s="19" t="s">
        <v>19</v>
      </c>
      <c r="G9" s="19" t="s">
        <v>23</v>
      </c>
      <c r="H9" s="19" t="s">
        <v>20</v>
      </c>
    </row>
    <row r="10" spans="1:10" ht="41.25" customHeight="1">
      <c r="A10" s="71">
        <v>1</v>
      </c>
      <c r="B10" s="71" t="s">
        <v>84</v>
      </c>
      <c r="C10" s="71" t="s">
        <v>82</v>
      </c>
      <c r="D10" s="72">
        <v>337</v>
      </c>
      <c r="E10" s="72">
        <v>289</v>
      </c>
      <c r="F10" s="72" t="s">
        <v>83</v>
      </c>
      <c r="G10" s="72">
        <v>2</v>
      </c>
      <c r="H10" s="89">
        <f>(D10/1000)*(E10/1000)*G10</f>
        <v>0.19478599999999999</v>
      </c>
    </row>
    <row r="11" spans="1:10" ht="41.25" customHeight="1">
      <c r="A11" s="71">
        <v>2</v>
      </c>
      <c r="B11" s="71" t="s">
        <v>84</v>
      </c>
      <c r="C11" s="71" t="s">
        <v>82</v>
      </c>
      <c r="D11" s="72">
        <v>337</v>
      </c>
      <c r="E11" s="72">
        <v>2243</v>
      </c>
      <c r="F11" s="72" t="s">
        <v>83</v>
      </c>
      <c r="G11" s="72">
        <v>2</v>
      </c>
      <c r="H11" s="89">
        <f t="shared" ref="H11:H22" si="0">(D11/1000)*(E11/1000)*G11</f>
        <v>1.511782</v>
      </c>
    </row>
    <row r="12" spans="1:10" ht="41.25" customHeight="1">
      <c r="A12" s="71">
        <v>3</v>
      </c>
      <c r="B12" s="71" t="s">
        <v>84</v>
      </c>
      <c r="C12" s="71" t="s">
        <v>82</v>
      </c>
      <c r="D12" s="72">
        <v>1804</v>
      </c>
      <c r="E12" s="72">
        <v>289</v>
      </c>
      <c r="F12" s="72" t="s">
        <v>83</v>
      </c>
      <c r="G12" s="72">
        <v>1</v>
      </c>
      <c r="H12" s="89">
        <f t="shared" si="0"/>
        <v>0.52135599999999993</v>
      </c>
    </row>
    <row r="13" spans="1:10" ht="41.25" customHeight="1">
      <c r="A13" s="71">
        <v>4</v>
      </c>
      <c r="B13" s="71" t="s">
        <v>84</v>
      </c>
      <c r="C13" s="71" t="s">
        <v>82</v>
      </c>
      <c r="D13" s="72">
        <v>750</v>
      </c>
      <c r="E13" s="72">
        <v>2080</v>
      </c>
      <c r="F13" s="72" t="s">
        <v>83</v>
      </c>
      <c r="G13" s="72">
        <v>2</v>
      </c>
      <c r="H13" s="89">
        <f t="shared" si="0"/>
        <v>3.12</v>
      </c>
    </row>
    <row r="14" spans="1:10" ht="41.25" customHeight="1">
      <c r="A14" s="71">
        <v>5</v>
      </c>
      <c r="B14" s="71" t="s">
        <v>85</v>
      </c>
      <c r="C14" s="71" t="s">
        <v>82</v>
      </c>
      <c r="D14" s="72">
        <v>1213</v>
      </c>
      <c r="E14" s="72">
        <v>343</v>
      </c>
      <c r="F14" s="72" t="s">
        <v>83</v>
      </c>
      <c r="G14" s="72">
        <v>2</v>
      </c>
      <c r="H14" s="89">
        <f t="shared" si="0"/>
        <v>0.83211800000000014</v>
      </c>
    </row>
    <row r="15" spans="1:10" ht="41.25" customHeight="1">
      <c r="A15" s="71">
        <v>6</v>
      </c>
      <c r="B15" s="71" t="s">
        <v>85</v>
      </c>
      <c r="C15" s="71" t="s">
        <v>82</v>
      </c>
      <c r="D15" s="72">
        <v>1113</v>
      </c>
      <c r="E15" s="72">
        <v>2084</v>
      </c>
      <c r="F15" s="72" t="s">
        <v>83</v>
      </c>
      <c r="G15" s="72">
        <v>2</v>
      </c>
      <c r="H15" s="89">
        <f t="shared" si="0"/>
        <v>4.6389839999999998</v>
      </c>
    </row>
    <row r="16" spans="1:10" ht="41.25" customHeight="1">
      <c r="A16" s="71">
        <v>15</v>
      </c>
      <c r="B16" s="71" t="s">
        <v>93</v>
      </c>
      <c r="C16" s="71" t="s">
        <v>82</v>
      </c>
      <c r="D16" s="72">
        <v>621</v>
      </c>
      <c r="E16" s="72">
        <v>323</v>
      </c>
      <c r="F16" s="72" t="s">
        <v>83</v>
      </c>
      <c r="G16" s="72">
        <v>2</v>
      </c>
      <c r="H16" s="89">
        <f t="shared" si="0"/>
        <v>0.40116600000000002</v>
      </c>
    </row>
    <row r="17" spans="1:10" ht="41.25" customHeight="1">
      <c r="A17" s="71">
        <v>16</v>
      </c>
      <c r="B17" s="71" t="s">
        <v>93</v>
      </c>
      <c r="C17" s="71" t="s">
        <v>82</v>
      </c>
      <c r="D17" s="72">
        <v>621</v>
      </c>
      <c r="E17" s="72">
        <v>2249</v>
      </c>
      <c r="F17" s="72" t="s">
        <v>83</v>
      </c>
      <c r="G17" s="72">
        <v>2</v>
      </c>
      <c r="H17" s="89">
        <f t="shared" si="0"/>
        <v>2.7932580000000002</v>
      </c>
    </row>
    <row r="18" spans="1:10" ht="41.25" customHeight="1">
      <c r="A18" s="71">
        <v>17</v>
      </c>
      <c r="B18" s="71" t="s">
        <v>93</v>
      </c>
      <c r="C18" s="71" t="s">
        <v>82</v>
      </c>
      <c r="D18" s="72">
        <v>1813</v>
      </c>
      <c r="E18" s="72">
        <v>323</v>
      </c>
      <c r="F18" s="72" t="s">
        <v>83</v>
      </c>
      <c r="G18" s="72">
        <v>1</v>
      </c>
      <c r="H18" s="89">
        <f t="shared" si="0"/>
        <v>0.58559899999999998</v>
      </c>
    </row>
    <row r="19" spans="1:10" ht="41.25" customHeight="1">
      <c r="A19" s="71">
        <v>18</v>
      </c>
      <c r="B19" s="71" t="s">
        <v>93</v>
      </c>
      <c r="C19" s="71" t="s">
        <v>82</v>
      </c>
      <c r="D19" s="72">
        <v>740</v>
      </c>
      <c r="E19" s="72">
        <v>2083</v>
      </c>
      <c r="F19" s="72" t="s">
        <v>83</v>
      </c>
      <c r="G19" s="72">
        <v>2</v>
      </c>
      <c r="H19" s="89">
        <f t="shared" si="0"/>
        <v>3.08284</v>
      </c>
    </row>
    <row r="20" spans="1:10" ht="41.25" customHeight="1">
      <c r="A20" s="71">
        <v>19</v>
      </c>
      <c r="B20" s="71" t="s">
        <v>94</v>
      </c>
      <c r="C20" s="72" t="s">
        <v>95</v>
      </c>
      <c r="D20" s="72">
        <v>1139</v>
      </c>
      <c r="E20" s="72">
        <v>1197</v>
      </c>
      <c r="F20" s="72" t="s">
        <v>83</v>
      </c>
      <c r="G20" s="72">
        <v>1</v>
      </c>
      <c r="H20" s="89">
        <f t="shared" si="0"/>
        <v>1.363383</v>
      </c>
    </row>
    <row r="21" spans="1:10" ht="41.25" customHeight="1">
      <c r="A21" s="71">
        <v>20</v>
      </c>
      <c r="B21" s="71" t="s">
        <v>94</v>
      </c>
      <c r="C21" s="71" t="s">
        <v>82</v>
      </c>
      <c r="D21" s="72">
        <v>469</v>
      </c>
      <c r="E21" s="72">
        <v>1133</v>
      </c>
      <c r="F21" s="72" t="s">
        <v>83</v>
      </c>
      <c r="G21" s="72">
        <v>2</v>
      </c>
      <c r="H21" s="89">
        <f t="shared" si="0"/>
        <v>1.062754</v>
      </c>
    </row>
    <row r="22" spans="1:10" ht="41.25" customHeight="1">
      <c r="A22" s="71">
        <v>32</v>
      </c>
      <c r="B22" s="71" t="s">
        <v>101</v>
      </c>
      <c r="C22" s="71" t="s">
        <v>82</v>
      </c>
      <c r="D22" s="72">
        <v>933</v>
      </c>
      <c r="E22" s="72">
        <v>2774</v>
      </c>
      <c r="F22" s="72" t="s">
        <v>83</v>
      </c>
      <c r="G22" s="72">
        <v>6</v>
      </c>
      <c r="H22" s="89">
        <f t="shared" si="0"/>
        <v>15.528852000000001</v>
      </c>
    </row>
    <row r="23" spans="1:10" ht="39" customHeight="1">
      <c r="A23" s="114"/>
      <c r="B23" s="138" t="s">
        <v>10</v>
      </c>
      <c r="C23" s="139"/>
      <c r="D23" s="113"/>
      <c r="E23" s="87"/>
      <c r="F23" s="87"/>
      <c r="G23" s="88">
        <f>SUM(G10:G22)</f>
        <v>27</v>
      </c>
      <c r="H23" s="88">
        <f>SUM(H10:H22)</f>
        <v>35.636878000000003</v>
      </c>
    </row>
    <row r="24" spans="1:10" ht="15.75">
      <c r="A24" s="9"/>
      <c r="B24" s="10"/>
      <c r="C24" s="140" t="s">
        <v>105</v>
      </c>
      <c r="D24" s="140"/>
      <c r="E24" s="140"/>
      <c r="F24" s="140"/>
      <c r="G24" s="140"/>
      <c r="H24" s="140"/>
    </row>
    <row r="25" spans="1:10" ht="15.75">
      <c r="A25" s="3"/>
      <c r="B25" s="4"/>
      <c r="C25" s="4"/>
      <c r="D25" s="4"/>
      <c r="E25" s="4"/>
      <c r="F25" s="4"/>
      <c r="G25" s="4"/>
      <c r="H25" s="4"/>
    </row>
    <row r="26" spans="1:10" ht="15.75">
      <c r="A26" s="6" t="s">
        <v>21</v>
      </c>
      <c r="B26" s="6"/>
      <c r="C26" s="6"/>
      <c r="D26" s="6"/>
      <c r="E26" s="6"/>
      <c r="F26" s="6"/>
      <c r="G26" s="6"/>
      <c r="H26" s="6"/>
      <c r="I26" s="11"/>
      <c r="J26" s="12"/>
    </row>
    <row r="27" spans="1:10" ht="15.75">
      <c r="A27" s="14" t="s">
        <v>22</v>
      </c>
      <c r="B27" s="1"/>
      <c r="C27" s="1"/>
      <c r="D27" s="1"/>
      <c r="E27" s="1"/>
      <c r="F27" s="1"/>
      <c r="G27" s="1"/>
      <c r="H27" s="1"/>
      <c r="I27" s="13"/>
      <c r="J27" s="13"/>
    </row>
    <row r="28" spans="1:10" ht="15.75">
      <c r="A28" s="4"/>
      <c r="B28" s="4"/>
      <c r="C28" s="4"/>
      <c r="D28" s="4"/>
      <c r="E28" s="4"/>
      <c r="F28" s="4"/>
      <c r="G28" s="4"/>
      <c r="H28" s="4"/>
    </row>
    <row r="29" spans="1:10" ht="15.75">
      <c r="A29" s="3"/>
      <c r="B29" s="4"/>
      <c r="C29" s="4"/>
      <c r="D29" s="4"/>
      <c r="E29" s="4"/>
      <c r="F29" s="4"/>
      <c r="G29" s="4"/>
      <c r="H29" s="4"/>
    </row>
    <row r="30" spans="1:10" ht="15.75">
      <c r="A30" s="3"/>
      <c r="B30" s="4"/>
      <c r="C30" s="4"/>
      <c r="D30" s="4"/>
      <c r="E30" s="4"/>
      <c r="F30" s="4"/>
      <c r="G30" s="4"/>
      <c r="H30" s="4"/>
    </row>
    <row r="31" spans="1:10" ht="15.75">
      <c r="A31" s="3"/>
      <c r="B31" s="4"/>
      <c r="C31" s="4"/>
      <c r="D31" s="4"/>
      <c r="E31" s="4"/>
      <c r="F31" s="4"/>
      <c r="G31" s="4"/>
      <c r="H31" s="4"/>
    </row>
    <row r="32" spans="1:10" ht="15.75">
      <c r="A32" s="3"/>
      <c r="B32" s="4"/>
      <c r="C32" s="4"/>
      <c r="D32" s="4"/>
      <c r="E32" s="4"/>
      <c r="F32" s="4"/>
      <c r="G32" s="4"/>
      <c r="H32" s="4"/>
    </row>
  </sheetData>
  <mergeCells count="4">
    <mergeCell ref="A1:H1"/>
    <mergeCell ref="B2:H2"/>
    <mergeCell ref="B23:C23"/>
    <mergeCell ref="C24:H24"/>
  </mergeCells>
  <pageMargins left="0.7" right="0.7" top="0.75" bottom="0.75" header="0.3" footer="0.3"/>
  <pageSetup scale="9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topLeftCell="A28" zoomScale="118" zoomScaleNormal="118" workbookViewId="0">
      <selection activeCell="C41" sqref="C41"/>
    </sheetView>
  </sheetViews>
  <sheetFormatPr defaultRowHeight="15"/>
  <cols>
    <col min="1" max="1" width="5.28515625" customWidth="1"/>
    <col min="2" max="2" width="24.5703125" customWidth="1"/>
    <col min="3" max="3" width="34.5703125" customWidth="1"/>
    <col min="4" max="5" width="7.28515625" customWidth="1"/>
    <col min="6" max="6" width="7.140625" customWidth="1"/>
    <col min="7" max="8" width="7.42578125" customWidth="1"/>
  </cols>
  <sheetData>
    <row r="1" spans="1:10" ht="15.75">
      <c r="A1" s="136" t="s">
        <v>14</v>
      </c>
      <c r="B1" s="136"/>
      <c r="C1" s="136"/>
      <c r="D1" s="136"/>
      <c r="E1" s="136"/>
      <c r="F1" s="136"/>
      <c r="G1" s="136"/>
      <c r="H1" s="136"/>
    </row>
    <row r="2" spans="1:10" ht="15.75">
      <c r="A2" s="7"/>
      <c r="B2" s="137" t="s">
        <v>65</v>
      </c>
      <c r="C2" s="137"/>
      <c r="D2" s="137"/>
      <c r="E2" s="137"/>
      <c r="F2" s="137"/>
      <c r="G2" s="137"/>
      <c r="H2" s="137"/>
    </row>
    <row r="3" spans="1:10" ht="21" customHeight="1">
      <c r="A3" s="15" t="s">
        <v>81</v>
      </c>
      <c r="B3" s="5"/>
      <c r="C3" s="5"/>
      <c r="D3" s="5"/>
      <c r="E3" s="5"/>
      <c r="F3" s="5"/>
      <c r="G3" s="5"/>
      <c r="H3" s="5"/>
      <c r="I3" s="5"/>
      <c r="J3" s="5"/>
    </row>
    <row r="4" spans="1:10" ht="21" customHeight="1">
      <c r="A4" s="15" t="s">
        <v>46</v>
      </c>
      <c r="B4" s="5"/>
      <c r="C4" s="5"/>
      <c r="D4" s="5"/>
      <c r="E4" s="5"/>
      <c r="F4" s="5"/>
      <c r="G4" s="5"/>
      <c r="H4" s="5"/>
      <c r="I4" s="5"/>
      <c r="J4" s="5"/>
    </row>
    <row r="5" spans="1:10" ht="21" customHeight="1">
      <c r="A5" s="15" t="s">
        <v>56</v>
      </c>
      <c r="B5" s="5"/>
      <c r="C5" s="5"/>
      <c r="D5" s="5"/>
      <c r="E5" s="5"/>
      <c r="F5" s="5"/>
      <c r="G5" s="5"/>
      <c r="H5" s="5"/>
      <c r="I5" s="5"/>
      <c r="J5" s="5"/>
    </row>
    <row r="6" spans="1:10" ht="21" customHeight="1">
      <c r="A6" s="16" t="s">
        <v>52</v>
      </c>
      <c r="B6" s="17"/>
      <c r="C6" s="5"/>
      <c r="D6" s="5"/>
      <c r="E6" s="5"/>
      <c r="F6" s="5"/>
      <c r="G6" s="5"/>
      <c r="H6" s="5"/>
      <c r="I6" s="5"/>
      <c r="J6" s="5"/>
    </row>
    <row r="7" spans="1:10" ht="18.75" customHeight="1">
      <c r="A7" s="15" t="s">
        <v>66</v>
      </c>
      <c r="B7" s="5"/>
      <c r="C7" s="5"/>
      <c r="D7" s="5"/>
      <c r="E7" s="5"/>
      <c r="F7" s="5"/>
      <c r="G7" s="5"/>
      <c r="H7" s="5"/>
      <c r="I7" s="5"/>
      <c r="J7" s="5"/>
    </row>
    <row r="8" spans="1:10" ht="15.75">
      <c r="A8" s="7"/>
      <c r="B8" s="7"/>
      <c r="C8" s="7"/>
      <c r="D8" s="7"/>
      <c r="E8" s="7"/>
      <c r="F8" s="7"/>
      <c r="G8" s="7"/>
      <c r="H8" s="8"/>
      <c r="I8" s="2"/>
      <c r="J8" s="2"/>
    </row>
    <row r="9" spans="1:10" ht="38.25" customHeight="1">
      <c r="A9" s="18" t="s">
        <v>0</v>
      </c>
      <c r="B9" s="18" t="s">
        <v>15</v>
      </c>
      <c r="C9" s="18" t="s">
        <v>16</v>
      </c>
      <c r="D9" s="19" t="s">
        <v>17</v>
      </c>
      <c r="E9" s="19" t="s">
        <v>18</v>
      </c>
      <c r="F9" s="19" t="s">
        <v>19</v>
      </c>
      <c r="G9" s="19" t="s">
        <v>23</v>
      </c>
      <c r="H9" s="19" t="s">
        <v>20</v>
      </c>
    </row>
    <row r="10" spans="1:10" ht="41.25" customHeight="1">
      <c r="A10" s="71">
        <v>7</v>
      </c>
      <c r="B10" s="71" t="s">
        <v>86</v>
      </c>
      <c r="C10" s="71" t="s">
        <v>87</v>
      </c>
      <c r="D10" s="72">
        <v>816</v>
      </c>
      <c r="E10" s="72">
        <v>328</v>
      </c>
      <c r="F10" s="72" t="s">
        <v>83</v>
      </c>
      <c r="G10" s="72">
        <v>1</v>
      </c>
      <c r="H10" s="89">
        <f t="shared" ref="H10:H37" si="0">(D10/1000)*(E10/1000)*G10</f>
        <v>0.267648</v>
      </c>
    </row>
    <row r="11" spans="1:10" ht="41.25" customHeight="1">
      <c r="A11" s="71">
        <v>8</v>
      </c>
      <c r="B11" s="71" t="s">
        <v>86</v>
      </c>
      <c r="C11" s="71" t="s">
        <v>87</v>
      </c>
      <c r="D11" s="72">
        <v>650</v>
      </c>
      <c r="E11" s="72">
        <v>2077</v>
      </c>
      <c r="F11" s="72" t="s">
        <v>83</v>
      </c>
      <c r="G11" s="72">
        <v>1</v>
      </c>
      <c r="H11" s="89">
        <f t="shared" si="0"/>
        <v>1.35005</v>
      </c>
    </row>
    <row r="12" spans="1:10" ht="41.25" customHeight="1">
      <c r="A12" s="71">
        <v>9</v>
      </c>
      <c r="B12" s="71" t="s">
        <v>88</v>
      </c>
      <c r="C12" s="71" t="s">
        <v>89</v>
      </c>
      <c r="D12" s="72">
        <v>446</v>
      </c>
      <c r="E12" s="72">
        <v>1421</v>
      </c>
      <c r="F12" s="72" t="s">
        <v>83</v>
      </c>
      <c r="G12" s="72">
        <v>1</v>
      </c>
      <c r="H12" s="89">
        <f t="shared" si="0"/>
        <v>0.63376600000000005</v>
      </c>
    </row>
    <row r="13" spans="1:10" ht="41.25" customHeight="1">
      <c r="A13" s="71">
        <v>10</v>
      </c>
      <c r="B13" s="71" t="s">
        <v>90</v>
      </c>
      <c r="C13" s="71" t="s">
        <v>89</v>
      </c>
      <c r="D13" s="72">
        <v>451</v>
      </c>
      <c r="E13" s="72">
        <v>1418</v>
      </c>
      <c r="F13" s="72" t="s">
        <v>83</v>
      </c>
      <c r="G13" s="72">
        <v>1</v>
      </c>
      <c r="H13" s="89">
        <f t="shared" si="0"/>
        <v>0.63951800000000003</v>
      </c>
    </row>
    <row r="14" spans="1:10" ht="41.25" customHeight="1">
      <c r="A14" s="71">
        <v>11</v>
      </c>
      <c r="B14" s="71" t="s">
        <v>91</v>
      </c>
      <c r="C14" s="71" t="s">
        <v>89</v>
      </c>
      <c r="D14" s="72">
        <v>440</v>
      </c>
      <c r="E14" s="72">
        <v>1142</v>
      </c>
      <c r="F14" s="72" t="s">
        <v>83</v>
      </c>
      <c r="G14" s="72">
        <v>2</v>
      </c>
      <c r="H14" s="89">
        <f t="shared" si="0"/>
        <v>1.0049599999999999</v>
      </c>
    </row>
    <row r="15" spans="1:10" ht="41.25" customHeight="1">
      <c r="A15" s="71">
        <v>12</v>
      </c>
      <c r="B15" s="71" t="s">
        <v>91</v>
      </c>
      <c r="C15" s="71" t="s">
        <v>89</v>
      </c>
      <c r="D15" s="72">
        <v>1132</v>
      </c>
      <c r="E15" s="72">
        <v>328</v>
      </c>
      <c r="F15" s="72" t="s">
        <v>83</v>
      </c>
      <c r="G15" s="72">
        <v>1</v>
      </c>
      <c r="H15" s="89">
        <f t="shared" si="0"/>
        <v>0.37129599999999996</v>
      </c>
    </row>
    <row r="16" spans="1:10" ht="41.25" customHeight="1">
      <c r="A16" s="71">
        <v>13</v>
      </c>
      <c r="B16" s="71" t="s">
        <v>92</v>
      </c>
      <c r="C16" s="71" t="s">
        <v>89</v>
      </c>
      <c r="D16" s="72">
        <v>1242</v>
      </c>
      <c r="E16" s="72">
        <v>328</v>
      </c>
      <c r="F16" s="72" t="s">
        <v>83</v>
      </c>
      <c r="G16" s="72">
        <v>1</v>
      </c>
      <c r="H16" s="89">
        <f t="shared" si="0"/>
        <v>0.40737600000000002</v>
      </c>
    </row>
    <row r="17" spans="1:8" ht="41.25" customHeight="1">
      <c r="A17" s="71">
        <v>14</v>
      </c>
      <c r="B17" s="71" t="s">
        <v>92</v>
      </c>
      <c r="C17" s="71" t="s">
        <v>89</v>
      </c>
      <c r="D17" s="72">
        <v>533</v>
      </c>
      <c r="E17" s="72">
        <v>1122</v>
      </c>
      <c r="F17" s="72" t="s">
        <v>83</v>
      </c>
      <c r="G17" s="72">
        <v>2</v>
      </c>
      <c r="H17" s="89">
        <f t="shared" si="0"/>
        <v>1.1960520000000001</v>
      </c>
    </row>
    <row r="18" spans="1:8" ht="41.25" customHeight="1">
      <c r="A18" s="71">
        <v>21</v>
      </c>
      <c r="B18" s="71" t="s">
        <v>96</v>
      </c>
      <c r="C18" s="71" t="s">
        <v>87</v>
      </c>
      <c r="D18" s="72">
        <v>858</v>
      </c>
      <c r="E18" s="72">
        <v>328</v>
      </c>
      <c r="F18" s="72" t="s">
        <v>83</v>
      </c>
      <c r="G18" s="72">
        <v>1</v>
      </c>
      <c r="H18" s="89">
        <f t="shared" si="0"/>
        <v>0.28142400000000001</v>
      </c>
    </row>
    <row r="19" spans="1:8" ht="41.25" customHeight="1">
      <c r="A19" s="71">
        <v>22</v>
      </c>
      <c r="B19" s="71" t="s">
        <v>96</v>
      </c>
      <c r="C19" s="71" t="s">
        <v>87</v>
      </c>
      <c r="D19" s="72">
        <v>832</v>
      </c>
      <c r="E19" s="72">
        <v>328</v>
      </c>
      <c r="F19" s="72" t="s">
        <v>83</v>
      </c>
      <c r="G19" s="72">
        <v>1</v>
      </c>
      <c r="H19" s="89">
        <f t="shared" si="0"/>
        <v>0.27289599999999997</v>
      </c>
    </row>
    <row r="20" spans="1:8" ht="41.25" customHeight="1">
      <c r="A20" s="71">
        <v>23</v>
      </c>
      <c r="B20" s="71" t="s">
        <v>96</v>
      </c>
      <c r="C20" s="71" t="s">
        <v>87</v>
      </c>
      <c r="D20" s="72">
        <v>756</v>
      </c>
      <c r="E20" s="72">
        <v>1322</v>
      </c>
      <c r="F20" s="72" t="s">
        <v>83</v>
      </c>
      <c r="G20" s="72">
        <v>1</v>
      </c>
      <c r="H20" s="89">
        <f t="shared" si="0"/>
        <v>0.9994320000000001</v>
      </c>
    </row>
    <row r="21" spans="1:8" ht="41.25" customHeight="1">
      <c r="A21" s="71">
        <v>24</v>
      </c>
      <c r="B21" s="71" t="s">
        <v>96</v>
      </c>
      <c r="C21" s="71" t="s">
        <v>87</v>
      </c>
      <c r="D21" s="95">
        <v>666</v>
      </c>
      <c r="E21" s="72">
        <v>2101</v>
      </c>
      <c r="F21" s="72" t="s">
        <v>83</v>
      </c>
      <c r="G21" s="72">
        <v>1</v>
      </c>
      <c r="H21" s="89">
        <f t="shared" si="0"/>
        <v>1.3992660000000001</v>
      </c>
    </row>
    <row r="22" spans="1:8" ht="41.25" customHeight="1">
      <c r="A22" s="71">
        <v>25</v>
      </c>
      <c r="B22" s="71" t="s">
        <v>97</v>
      </c>
      <c r="C22" s="71" t="s">
        <v>87</v>
      </c>
      <c r="D22" s="95">
        <v>831</v>
      </c>
      <c r="E22" s="72">
        <v>328</v>
      </c>
      <c r="F22" s="72" t="s">
        <v>83</v>
      </c>
      <c r="G22" s="72">
        <v>1</v>
      </c>
      <c r="H22" s="89">
        <f t="shared" si="0"/>
        <v>0.27256799999999998</v>
      </c>
    </row>
    <row r="23" spans="1:8" ht="41.25" customHeight="1">
      <c r="A23" s="71">
        <v>26</v>
      </c>
      <c r="B23" s="71" t="s">
        <v>97</v>
      </c>
      <c r="C23" s="71" t="s">
        <v>87</v>
      </c>
      <c r="D23" s="95">
        <v>842</v>
      </c>
      <c r="E23" s="72">
        <v>328</v>
      </c>
      <c r="F23" s="72" t="s">
        <v>83</v>
      </c>
      <c r="G23" s="72">
        <v>1</v>
      </c>
      <c r="H23" s="89">
        <f t="shared" si="0"/>
        <v>0.27617599999999998</v>
      </c>
    </row>
    <row r="24" spans="1:8" ht="41.25" customHeight="1">
      <c r="A24" s="71">
        <v>27</v>
      </c>
      <c r="B24" s="71" t="s">
        <v>97</v>
      </c>
      <c r="C24" s="71" t="s">
        <v>87</v>
      </c>
      <c r="D24" s="95">
        <v>740</v>
      </c>
      <c r="E24" s="72">
        <v>1314</v>
      </c>
      <c r="F24" s="72" t="s">
        <v>83</v>
      </c>
      <c r="G24" s="72">
        <v>1</v>
      </c>
      <c r="H24" s="89">
        <f t="shared" si="0"/>
        <v>0.97236</v>
      </c>
    </row>
    <row r="25" spans="1:8" ht="41.25" customHeight="1">
      <c r="A25" s="71">
        <v>28</v>
      </c>
      <c r="B25" s="71" t="s">
        <v>97</v>
      </c>
      <c r="C25" s="71" t="s">
        <v>87</v>
      </c>
      <c r="D25" s="95">
        <v>665</v>
      </c>
      <c r="E25" s="72">
        <v>2087</v>
      </c>
      <c r="F25" s="72" t="s">
        <v>83</v>
      </c>
      <c r="G25" s="72">
        <v>1</v>
      </c>
      <c r="H25" s="89">
        <f t="shared" si="0"/>
        <v>1.3878550000000003</v>
      </c>
    </row>
    <row r="26" spans="1:8" ht="41.25" customHeight="1">
      <c r="A26" s="71">
        <v>29</v>
      </c>
      <c r="B26" s="71" t="s">
        <v>98</v>
      </c>
      <c r="C26" s="71" t="s">
        <v>89</v>
      </c>
      <c r="D26" s="72">
        <v>434</v>
      </c>
      <c r="E26" s="72">
        <v>1334</v>
      </c>
      <c r="F26" s="72" t="s">
        <v>83</v>
      </c>
      <c r="G26" s="72">
        <v>1</v>
      </c>
      <c r="H26" s="89">
        <f t="shared" si="0"/>
        <v>0.57895600000000003</v>
      </c>
    </row>
    <row r="27" spans="1:8" ht="41.25" customHeight="1">
      <c r="A27" s="71">
        <v>30</v>
      </c>
      <c r="B27" s="71" t="s">
        <v>99</v>
      </c>
      <c r="C27" s="71" t="s">
        <v>89</v>
      </c>
      <c r="D27" s="72">
        <v>435</v>
      </c>
      <c r="E27" s="72">
        <v>1331</v>
      </c>
      <c r="F27" s="72" t="s">
        <v>83</v>
      </c>
      <c r="G27" s="72">
        <v>1</v>
      </c>
      <c r="H27" s="89">
        <f t="shared" si="0"/>
        <v>0.57898499999999997</v>
      </c>
    </row>
    <row r="28" spans="1:8" ht="41.25" customHeight="1">
      <c r="A28" s="71">
        <v>31</v>
      </c>
      <c r="B28" s="71" t="s">
        <v>100</v>
      </c>
      <c r="C28" s="71" t="s">
        <v>89</v>
      </c>
      <c r="D28" s="72">
        <v>728</v>
      </c>
      <c r="E28" s="72">
        <v>1244</v>
      </c>
      <c r="F28" s="72" t="s">
        <v>83</v>
      </c>
      <c r="G28" s="72">
        <v>1</v>
      </c>
      <c r="H28" s="89">
        <f t="shared" si="0"/>
        <v>0.90563199999999999</v>
      </c>
    </row>
    <row r="29" spans="1:8" ht="41.25" customHeight="1">
      <c r="A29" s="71">
        <v>33</v>
      </c>
      <c r="B29" s="71" t="s">
        <v>102</v>
      </c>
      <c r="C29" s="71" t="s">
        <v>87</v>
      </c>
      <c r="D29" s="72">
        <v>836</v>
      </c>
      <c r="E29" s="72">
        <v>328</v>
      </c>
      <c r="F29" s="72" t="s">
        <v>83</v>
      </c>
      <c r="G29" s="72">
        <v>1</v>
      </c>
      <c r="H29" s="89">
        <f t="shared" si="0"/>
        <v>0.27420800000000001</v>
      </c>
    </row>
    <row r="30" spans="1:8" ht="41.25" customHeight="1">
      <c r="A30" s="71">
        <v>34</v>
      </c>
      <c r="B30" s="71" t="s">
        <v>102</v>
      </c>
      <c r="C30" s="71" t="s">
        <v>87</v>
      </c>
      <c r="D30" s="72">
        <v>863</v>
      </c>
      <c r="E30" s="72">
        <v>328</v>
      </c>
      <c r="F30" s="72" t="s">
        <v>83</v>
      </c>
      <c r="G30" s="72">
        <v>1</v>
      </c>
      <c r="H30" s="89">
        <f t="shared" si="0"/>
        <v>0.28306399999999998</v>
      </c>
    </row>
    <row r="31" spans="1:8" ht="41.25" customHeight="1">
      <c r="A31" s="71">
        <v>35</v>
      </c>
      <c r="B31" s="71" t="s">
        <v>102</v>
      </c>
      <c r="C31" s="71" t="s">
        <v>87</v>
      </c>
      <c r="D31" s="72">
        <v>761</v>
      </c>
      <c r="E31" s="72">
        <v>1331</v>
      </c>
      <c r="F31" s="72" t="s">
        <v>83</v>
      </c>
      <c r="G31" s="72">
        <v>1</v>
      </c>
      <c r="H31" s="89">
        <f t="shared" si="0"/>
        <v>1.012891</v>
      </c>
    </row>
    <row r="32" spans="1:8" ht="41.25" customHeight="1">
      <c r="A32" s="71">
        <v>36</v>
      </c>
      <c r="B32" s="71" t="s">
        <v>102</v>
      </c>
      <c r="C32" s="71" t="s">
        <v>87</v>
      </c>
      <c r="D32" s="72">
        <v>670</v>
      </c>
      <c r="E32" s="72">
        <v>2069</v>
      </c>
      <c r="F32" s="72" t="s">
        <v>83</v>
      </c>
      <c r="G32" s="72">
        <v>1</v>
      </c>
      <c r="H32" s="89">
        <f t="shared" si="0"/>
        <v>1.3862300000000001</v>
      </c>
    </row>
    <row r="33" spans="1:10" ht="41.25" customHeight="1">
      <c r="A33" s="71">
        <v>37</v>
      </c>
      <c r="B33" s="71" t="s">
        <v>103</v>
      </c>
      <c r="C33" s="71" t="s">
        <v>87</v>
      </c>
      <c r="D33" s="72">
        <v>851</v>
      </c>
      <c r="E33" s="72">
        <v>328</v>
      </c>
      <c r="F33" s="72" t="s">
        <v>83</v>
      </c>
      <c r="G33" s="72">
        <v>1</v>
      </c>
      <c r="H33" s="89">
        <f t="shared" si="0"/>
        <v>0.27912799999999999</v>
      </c>
    </row>
    <row r="34" spans="1:10" ht="41.25" customHeight="1">
      <c r="A34" s="71">
        <v>38</v>
      </c>
      <c r="B34" s="71" t="s">
        <v>103</v>
      </c>
      <c r="C34" s="71" t="s">
        <v>87</v>
      </c>
      <c r="D34" s="72">
        <v>835</v>
      </c>
      <c r="E34" s="72">
        <v>328</v>
      </c>
      <c r="F34" s="72" t="s">
        <v>83</v>
      </c>
      <c r="G34" s="72">
        <v>1</v>
      </c>
      <c r="H34" s="89">
        <f t="shared" si="0"/>
        <v>0.27388000000000001</v>
      </c>
    </row>
    <row r="35" spans="1:10" ht="41.25" customHeight="1">
      <c r="A35" s="71">
        <v>39</v>
      </c>
      <c r="B35" s="71" t="s">
        <v>103</v>
      </c>
      <c r="C35" s="71" t="s">
        <v>87</v>
      </c>
      <c r="D35" s="72">
        <v>749</v>
      </c>
      <c r="E35" s="72">
        <v>1339</v>
      </c>
      <c r="F35" s="72" t="s">
        <v>83</v>
      </c>
      <c r="G35" s="72">
        <v>1</v>
      </c>
      <c r="H35" s="89">
        <f t="shared" si="0"/>
        <v>1.0029109999999999</v>
      </c>
    </row>
    <row r="36" spans="1:10" ht="41.25" customHeight="1">
      <c r="A36" s="71">
        <v>40</v>
      </c>
      <c r="B36" s="71" t="s">
        <v>103</v>
      </c>
      <c r="C36" s="71" t="s">
        <v>87</v>
      </c>
      <c r="D36" s="72">
        <v>669</v>
      </c>
      <c r="E36" s="72">
        <v>2070</v>
      </c>
      <c r="F36" s="72" t="s">
        <v>83</v>
      </c>
      <c r="G36" s="72">
        <v>1</v>
      </c>
      <c r="H36" s="89">
        <f t="shared" si="0"/>
        <v>1.38483</v>
      </c>
    </row>
    <row r="37" spans="1:10" ht="41.25" customHeight="1">
      <c r="A37" s="71">
        <v>41</v>
      </c>
      <c r="B37" s="71" t="s">
        <v>104</v>
      </c>
      <c r="C37" s="71" t="s">
        <v>89</v>
      </c>
      <c r="D37" s="72">
        <v>726</v>
      </c>
      <c r="E37" s="72">
        <v>1252</v>
      </c>
      <c r="F37" s="72" t="s">
        <v>83</v>
      </c>
      <c r="G37" s="72">
        <v>1</v>
      </c>
      <c r="H37" s="89">
        <f t="shared" si="0"/>
        <v>0.90895199999999998</v>
      </c>
    </row>
    <row r="38" spans="1:10" ht="39" customHeight="1">
      <c r="A38" s="62"/>
      <c r="B38" s="138" t="s">
        <v>10</v>
      </c>
      <c r="C38" s="139"/>
      <c r="D38" s="86"/>
      <c r="E38" s="87"/>
      <c r="F38" s="87"/>
      <c r="G38" s="88">
        <f>SUM(G10:G37)</f>
        <v>30</v>
      </c>
      <c r="H38" s="88">
        <f>SUM(H10:H37)</f>
        <v>20.602309999999999</v>
      </c>
    </row>
    <row r="39" spans="1:10" ht="15.75">
      <c r="A39" s="9"/>
      <c r="B39" s="10"/>
      <c r="C39" s="140" t="s">
        <v>105</v>
      </c>
      <c r="D39" s="140"/>
      <c r="E39" s="140"/>
      <c r="F39" s="140"/>
      <c r="G39" s="140"/>
      <c r="H39" s="140"/>
    </row>
    <row r="40" spans="1:10" ht="15.75">
      <c r="A40" s="3"/>
      <c r="B40" s="4"/>
      <c r="C40" s="4"/>
      <c r="D40" s="4"/>
      <c r="E40" s="4"/>
      <c r="F40" s="4"/>
      <c r="G40" s="4"/>
      <c r="H40" s="4"/>
    </row>
    <row r="41" spans="1:10" ht="15.75">
      <c r="A41" s="6" t="s">
        <v>21</v>
      </c>
      <c r="B41" s="6"/>
      <c r="C41" s="6"/>
      <c r="D41" s="6"/>
      <c r="E41" s="6"/>
      <c r="F41" s="6"/>
      <c r="G41" s="6"/>
      <c r="H41" s="6"/>
      <c r="I41" s="11"/>
      <c r="J41" s="12"/>
    </row>
    <row r="42" spans="1:10" ht="15.75">
      <c r="A42" s="14" t="s">
        <v>22</v>
      </c>
      <c r="B42" s="1"/>
      <c r="C42" s="1"/>
      <c r="D42" s="1"/>
      <c r="E42" s="1"/>
      <c r="F42" s="1"/>
      <c r="G42" s="1"/>
      <c r="H42" s="1"/>
      <c r="I42" s="13"/>
      <c r="J42" s="13"/>
    </row>
    <row r="43" spans="1:10" ht="15.75">
      <c r="A43" s="4"/>
      <c r="B43" s="4"/>
      <c r="C43" s="4"/>
      <c r="D43" s="4"/>
      <c r="E43" s="4"/>
      <c r="F43" s="4"/>
      <c r="G43" s="4"/>
      <c r="H43" s="4"/>
    </row>
    <row r="44" spans="1:10" ht="15.75">
      <c r="A44" s="3"/>
      <c r="B44" s="4"/>
      <c r="C44" s="4"/>
      <c r="D44" s="4"/>
      <c r="E44" s="4"/>
      <c r="F44" s="4"/>
      <c r="G44" s="4"/>
      <c r="H44" s="4"/>
    </row>
    <row r="45" spans="1:10" ht="15.75">
      <c r="A45" s="3"/>
      <c r="B45" s="4"/>
      <c r="C45" s="4"/>
      <c r="D45" s="4"/>
      <c r="E45" s="4"/>
      <c r="F45" s="4"/>
      <c r="G45" s="4"/>
      <c r="H45" s="4"/>
    </row>
    <row r="46" spans="1:10" ht="15.75">
      <c r="A46" s="3"/>
      <c r="B46" s="4"/>
      <c r="C46" s="4"/>
      <c r="D46" s="4"/>
      <c r="E46" s="4"/>
      <c r="F46" s="4"/>
      <c r="G46" s="4"/>
      <c r="H46" s="4"/>
    </row>
    <row r="47" spans="1:10" ht="15.75">
      <c r="A47" s="3"/>
      <c r="B47" s="4"/>
      <c r="C47" s="4"/>
      <c r="D47" s="4"/>
      <c r="E47" s="4"/>
      <c r="F47" s="4"/>
      <c r="G47" s="4"/>
      <c r="H47" s="4"/>
    </row>
  </sheetData>
  <mergeCells count="4">
    <mergeCell ref="A1:H1"/>
    <mergeCell ref="B2:H2"/>
    <mergeCell ref="B38:C38"/>
    <mergeCell ref="C39:H39"/>
  </mergeCells>
  <pageMargins left="0.7" right="0.7" top="0.75" bottom="0.75" header="0.3" footer="0.3"/>
  <pageSetup scale="9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topLeftCell="A5" zoomScale="98" zoomScaleNormal="98" workbookViewId="0">
      <selection activeCell="H12" sqref="H12"/>
    </sheetView>
  </sheetViews>
  <sheetFormatPr defaultRowHeight="15"/>
  <cols>
    <col min="1" max="1" width="5" style="2" customWidth="1"/>
    <col min="2" max="2" width="31" customWidth="1"/>
    <col min="3" max="3" width="13.85546875" customWidth="1"/>
    <col min="4" max="4" width="10.42578125" customWidth="1"/>
    <col min="5" max="5" width="9.42578125" customWidth="1"/>
    <col min="6" max="6" width="8.28515625" customWidth="1"/>
    <col min="7" max="7" width="11.140625" customWidth="1"/>
    <col min="8" max="8" width="22.5703125" customWidth="1"/>
    <col min="251" max="251" width="5" customWidth="1"/>
    <col min="252" max="252" width="13" customWidth="1"/>
    <col min="253" max="253" width="30.5703125" customWidth="1"/>
    <col min="254" max="255" width="8.28515625" customWidth="1"/>
    <col min="256" max="256" width="8.140625" customWidth="1"/>
    <col min="257" max="257" width="10.140625" customWidth="1"/>
    <col min="258" max="258" width="10.85546875" customWidth="1"/>
    <col min="259" max="259" width="12.28515625" bestFit="1" customWidth="1"/>
    <col min="507" max="507" width="5" customWidth="1"/>
    <col min="508" max="508" width="13" customWidth="1"/>
    <col min="509" max="509" width="30.5703125" customWidth="1"/>
    <col min="510" max="511" width="8.28515625" customWidth="1"/>
    <col min="512" max="512" width="8.140625" customWidth="1"/>
    <col min="513" max="513" width="10.140625" customWidth="1"/>
    <col min="514" max="514" width="10.85546875" customWidth="1"/>
    <col min="515" max="515" width="12.28515625" bestFit="1" customWidth="1"/>
    <col min="763" max="763" width="5" customWidth="1"/>
    <col min="764" max="764" width="13" customWidth="1"/>
    <col min="765" max="765" width="30.5703125" customWidth="1"/>
    <col min="766" max="767" width="8.28515625" customWidth="1"/>
    <col min="768" max="768" width="8.140625" customWidth="1"/>
    <col min="769" max="769" width="10.140625" customWidth="1"/>
    <col min="770" max="770" width="10.85546875" customWidth="1"/>
    <col min="771" max="771" width="12.28515625" bestFit="1" customWidth="1"/>
    <col min="1019" max="1019" width="5" customWidth="1"/>
    <col min="1020" max="1020" width="13" customWidth="1"/>
    <col min="1021" max="1021" width="30.5703125" customWidth="1"/>
    <col min="1022" max="1023" width="8.28515625" customWidth="1"/>
    <col min="1024" max="1024" width="8.140625" customWidth="1"/>
    <col min="1025" max="1025" width="10.140625" customWidth="1"/>
    <col min="1026" max="1026" width="10.85546875" customWidth="1"/>
    <col min="1027" max="1027" width="12.28515625" bestFit="1" customWidth="1"/>
    <col min="1275" max="1275" width="5" customWidth="1"/>
    <col min="1276" max="1276" width="13" customWidth="1"/>
    <col min="1277" max="1277" width="30.5703125" customWidth="1"/>
    <col min="1278" max="1279" width="8.28515625" customWidth="1"/>
    <col min="1280" max="1280" width="8.140625" customWidth="1"/>
    <col min="1281" max="1281" width="10.140625" customWidth="1"/>
    <col min="1282" max="1282" width="10.85546875" customWidth="1"/>
    <col min="1283" max="1283" width="12.28515625" bestFit="1" customWidth="1"/>
    <col min="1531" max="1531" width="5" customWidth="1"/>
    <col min="1532" max="1532" width="13" customWidth="1"/>
    <col min="1533" max="1533" width="30.5703125" customWidth="1"/>
    <col min="1534" max="1535" width="8.28515625" customWidth="1"/>
    <col min="1536" max="1536" width="8.140625" customWidth="1"/>
    <col min="1537" max="1537" width="10.140625" customWidth="1"/>
    <col min="1538" max="1538" width="10.85546875" customWidth="1"/>
    <col min="1539" max="1539" width="12.28515625" bestFit="1" customWidth="1"/>
    <col min="1787" max="1787" width="5" customWidth="1"/>
    <col min="1788" max="1788" width="13" customWidth="1"/>
    <col min="1789" max="1789" width="30.5703125" customWidth="1"/>
    <col min="1790" max="1791" width="8.28515625" customWidth="1"/>
    <col min="1792" max="1792" width="8.140625" customWidth="1"/>
    <col min="1793" max="1793" width="10.140625" customWidth="1"/>
    <col min="1794" max="1794" width="10.85546875" customWidth="1"/>
    <col min="1795" max="1795" width="12.28515625" bestFit="1" customWidth="1"/>
    <col min="2043" max="2043" width="5" customWidth="1"/>
    <col min="2044" max="2044" width="13" customWidth="1"/>
    <col min="2045" max="2045" width="30.5703125" customWidth="1"/>
    <col min="2046" max="2047" width="8.28515625" customWidth="1"/>
    <col min="2048" max="2048" width="8.140625" customWidth="1"/>
    <col min="2049" max="2049" width="10.140625" customWidth="1"/>
    <col min="2050" max="2050" width="10.85546875" customWidth="1"/>
    <col min="2051" max="2051" width="12.28515625" bestFit="1" customWidth="1"/>
    <col min="2299" max="2299" width="5" customWidth="1"/>
    <col min="2300" max="2300" width="13" customWidth="1"/>
    <col min="2301" max="2301" width="30.5703125" customWidth="1"/>
    <col min="2302" max="2303" width="8.28515625" customWidth="1"/>
    <col min="2304" max="2304" width="8.140625" customWidth="1"/>
    <col min="2305" max="2305" width="10.140625" customWidth="1"/>
    <col min="2306" max="2306" width="10.85546875" customWidth="1"/>
    <col min="2307" max="2307" width="12.28515625" bestFit="1" customWidth="1"/>
    <col min="2555" max="2555" width="5" customWidth="1"/>
    <col min="2556" max="2556" width="13" customWidth="1"/>
    <col min="2557" max="2557" width="30.5703125" customWidth="1"/>
    <col min="2558" max="2559" width="8.28515625" customWidth="1"/>
    <col min="2560" max="2560" width="8.140625" customWidth="1"/>
    <col min="2561" max="2561" width="10.140625" customWidth="1"/>
    <col min="2562" max="2562" width="10.85546875" customWidth="1"/>
    <col min="2563" max="2563" width="12.28515625" bestFit="1" customWidth="1"/>
    <col min="2811" max="2811" width="5" customWidth="1"/>
    <col min="2812" max="2812" width="13" customWidth="1"/>
    <col min="2813" max="2813" width="30.5703125" customWidth="1"/>
    <col min="2814" max="2815" width="8.28515625" customWidth="1"/>
    <col min="2816" max="2816" width="8.140625" customWidth="1"/>
    <col min="2817" max="2817" width="10.140625" customWidth="1"/>
    <col min="2818" max="2818" width="10.85546875" customWidth="1"/>
    <col min="2819" max="2819" width="12.28515625" bestFit="1" customWidth="1"/>
    <col min="3067" max="3067" width="5" customWidth="1"/>
    <col min="3068" max="3068" width="13" customWidth="1"/>
    <col min="3069" max="3069" width="30.5703125" customWidth="1"/>
    <col min="3070" max="3071" width="8.28515625" customWidth="1"/>
    <col min="3072" max="3072" width="8.140625" customWidth="1"/>
    <col min="3073" max="3073" width="10.140625" customWidth="1"/>
    <col min="3074" max="3074" width="10.85546875" customWidth="1"/>
    <col min="3075" max="3075" width="12.28515625" bestFit="1" customWidth="1"/>
    <col min="3323" max="3323" width="5" customWidth="1"/>
    <col min="3324" max="3324" width="13" customWidth="1"/>
    <col min="3325" max="3325" width="30.5703125" customWidth="1"/>
    <col min="3326" max="3327" width="8.28515625" customWidth="1"/>
    <col min="3328" max="3328" width="8.140625" customWidth="1"/>
    <col min="3329" max="3329" width="10.140625" customWidth="1"/>
    <col min="3330" max="3330" width="10.85546875" customWidth="1"/>
    <col min="3331" max="3331" width="12.28515625" bestFit="1" customWidth="1"/>
    <col min="3579" max="3579" width="5" customWidth="1"/>
    <col min="3580" max="3580" width="13" customWidth="1"/>
    <col min="3581" max="3581" width="30.5703125" customWidth="1"/>
    <col min="3582" max="3583" width="8.28515625" customWidth="1"/>
    <col min="3584" max="3584" width="8.140625" customWidth="1"/>
    <col min="3585" max="3585" width="10.140625" customWidth="1"/>
    <col min="3586" max="3586" width="10.85546875" customWidth="1"/>
    <col min="3587" max="3587" width="12.28515625" bestFit="1" customWidth="1"/>
    <col min="3835" max="3835" width="5" customWidth="1"/>
    <col min="3836" max="3836" width="13" customWidth="1"/>
    <col min="3837" max="3837" width="30.5703125" customWidth="1"/>
    <col min="3838" max="3839" width="8.28515625" customWidth="1"/>
    <col min="3840" max="3840" width="8.140625" customWidth="1"/>
    <col min="3841" max="3841" width="10.140625" customWidth="1"/>
    <col min="3842" max="3842" width="10.85546875" customWidth="1"/>
    <col min="3843" max="3843" width="12.28515625" bestFit="1" customWidth="1"/>
    <col min="4091" max="4091" width="5" customWidth="1"/>
    <col min="4092" max="4092" width="13" customWidth="1"/>
    <col min="4093" max="4093" width="30.5703125" customWidth="1"/>
    <col min="4094" max="4095" width="8.28515625" customWidth="1"/>
    <col min="4096" max="4096" width="8.140625" customWidth="1"/>
    <col min="4097" max="4097" width="10.140625" customWidth="1"/>
    <col min="4098" max="4098" width="10.85546875" customWidth="1"/>
    <col min="4099" max="4099" width="12.28515625" bestFit="1" customWidth="1"/>
    <col min="4347" max="4347" width="5" customWidth="1"/>
    <col min="4348" max="4348" width="13" customWidth="1"/>
    <col min="4349" max="4349" width="30.5703125" customWidth="1"/>
    <col min="4350" max="4351" width="8.28515625" customWidth="1"/>
    <col min="4352" max="4352" width="8.140625" customWidth="1"/>
    <col min="4353" max="4353" width="10.140625" customWidth="1"/>
    <col min="4354" max="4354" width="10.85546875" customWidth="1"/>
    <col min="4355" max="4355" width="12.28515625" bestFit="1" customWidth="1"/>
    <col min="4603" max="4603" width="5" customWidth="1"/>
    <col min="4604" max="4604" width="13" customWidth="1"/>
    <col min="4605" max="4605" width="30.5703125" customWidth="1"/>
    <col min="4606" max="4607" width="8.28515625" customWidth="1"/>
    <col min="4608" max="4608" width="8.140625" customWidth="1"/>
    <col min="4609" max="4609" width="10.140625" customWidth="1"/>
    <col min="4610" max="4610" width="10.85546875" customWidth="1"/>
    <col min="4611" max="4611" width="12.28515625" bestFit="1" customWidth="1"/>
    <col min="4859" max="4859" width="5" customWidth="1"/>
    <col min="4860" max="4860" width="13" customWidth="1"/>
    <col min="4861" max="4861" width="30.5703125" customWidth="1"/>
    <col min="4862" max="4863" width="8.28515625" customWidth="1"/>
    <col min="4864" max="4864" width="8.140625" customWidth="1"/>
    <col min="4865" max="4865" width="10.140625" customWidth="1"/>
    <col min="4866" max="4866" width="10.85546875" customWidth="1"/>
    <col min="4867" max="4867" width="12.28515625" bestFit="1" customWidth="1"/>
    <col min="5115" max="5115" width="5" customWidth="1"/>
    <col min="5116" max="5116" width="13" customWidth="1"/>
    <col min="5117" max="5117" width="30.5703125" customWidth="1"/>
    <col min="5118" max="5119" width="8.28515625" customWidth="1"/>
    <col min="5120" max="5120" width="8.140625" customWidth="1"/>
    <col min="5121" max="5121" width="10.140625" customWidth="1"/>
    <col min="5122" max="5122" width="10.85546875" customWidth="1"/>
    <col min="5123" max="5123" width="12.28515625" bestFit="1" customWidth="1"/>
    <col min="5371" max="5371" width="5" customWidth="1"/>
    <col min="5372" max="5372" width="13" customWidth="1"/>
    <col min="5373" max="5373" width="30.5703125" customWidth="1"/>
    <col min="5374" max="5375" width="8.28515625" customWidth="1"/>
    <col min="5376" max="5376" width="8.140625" customWidth="1"/>
    <col min="5377" max="5377" width="10.140625" customWidth="1"/>
    <col min="5378" max="5378" width="10.85546875" customWidth="1"/>
    <col min="5379" max="5379" width="12.28515625" bestFit="1" customWidth="1"/>
    <col min="5627" max="5627" width="5" customWidth="1"/>
    <col min="5628" max="5628" width="13" customWidth="1"/>
    <col min="5629" max="5629" width="30.5703125" customWidth="1"/>
    <col min="5630" max="5631" width="8.28515625" customWidth="1"/>
    <col min="5632" max="5632" width="8.140625" customWidth="1"/>
    <col min="5633" max="5633" width="10.140625" customWidth="1"/>
    <col min="5634" max="5634" width="10.85546875" customWidth="1"/>
    <col min="5635" max="5635" width="12.28515625" bestFit="1" customWidth="1"/>
    <col min="5883" max="5883" width="5" customWidth="1"/>
    <col min="5884" max="5884" width="13" customWidth="1"/>
    <col min="5885" max="5885" width="30.5703125" customWidth="1"/>
    <col min="5886" max="5887" width="8.28515625" customWidth="1"/>
    <col min="5888" max="5888" width="8.140625" customWidth="1"/>
    <col min="5889" max="5889" width="10.140625" customWidth="1"/>
    <col min="5890" max="5890" width="10.85546875" customWidth="1"/>
    <col min="5891" max="5891" width="12.28515625" bestFit="1" customWidth="1"/>
    <col min="6139" max="6139" width="5" customWidth="1"/>
    <col min="6140" max="6140" width="13" customWidth="1"/>
    <col min="6141" max="6141" width="30.5703125" customWidth="1"/>
    <col min="6142" max="6143" width="8.28515625" customWidth="1"/>
    <col min="6144" max="6144" width="8.140625" customWidth="1"/>
    <col min="6145" max="6145" width="10.140625" customWidth="1"/>
    <col min="6146" max="6146" width="10.85546875" customWidth="1"/>
    <col min="6147" max="6147" width="12.28515625" bestFit="1" customWidth="1"/>
    <col min="6395" max="6395" width="5" customWidth="1"/>
    <col min="6396" max="6396" width="13" customWidth="1"/>
    <col min="6397" max="6397" width="30.5703125" customWidth="1"/>
    <col min="6398" max="6399" width="8.28515625" customWidth="1"/>
    <col min="6400" max="6400" width="8.140625" customWidth="1"/>
    <col min="6401" max="6401" width="10.140625" customWidth="1"/>
    <col min="6402" max="6402" width="10.85546875" customWidth="1"/>
    <col min="6403" max="6403" width="12.28515625" bestFit="1" customWidth="1"/>
    <col min="6651" max="6651" width="5" customWidth="1"/>
    <col min="6652" max="6652" width="13" customWidth="1"/>
    <col min="6653" max="6653" width="30.5703125" customWidth="1"/>
    <col min="6654" max="6655" width="8.28515625" customWidth="1"/>
    <col min="6656" max="6656" width="8.140625" customWidth="1"/>
    <col min="6657" max="6657" width="10.140625" customWidth="1"/>
    <col min="6658" max="6658" width="10.85546875" customWidth="1"/>
    <col min="6659" max="6659" width="12.28515625" bestFit="1" customWidth="1"/>
    <col min="6907" max="6907" width="5" customWidth="1"/>
    <col min="6908" max="6908" width="13" customWidth="1"/>
    <col min="6909" max="6909" width="30.5703125" customWidth="1"/>
    <col min="6910" max="6911" width="8.28515625" customWidth="1"/>
    <col min="6912" max="6912" width="8.140625" customWidth="1"/>
    <col min="6913" max="6913" width="10.140625" customWidth="1"/>
    <col min="6914" max="6914" width="10.85546875" customWidth="1"/>
    <col min="6915" max="6915" width="12.28515625" bestFit="1" customWidth="1"/>
    <col min="7163" max="7163" width="5" customWidth="1"/>
    <col min="7164" max="7164" width="13" customWidth="1"/>
    <col min="7165" max="7165" width="30.5703125" customWidth="1"/>
    <col min="7166" max="7167" width="8.28515625" customWidth="1"/>
    <col min="7168" max="7168" width="8.140625" customWidth="1"/>
    <col min="7169" max="7169" width="10.140625" customWidth="1"/>
    <col min="7170" max="7170" width="10.85546875" customWidth="1"/>
    <col min="7171" max="7171" width="12.28515625" bestFit="1" customWidth="1"/>
    <col min="7419" max="7419" width="5" customWidth="1"/>
    <col min="7420" max="7420" width="13" customWidth="1"/>
    <col min="7421" max="7421" width="30.5703125" customWidth="1"/>
    <col min="7422" max="7423" width="8.28515625" customWidth="1"/>
    <col min="7424" max="7424" width="8.140625" customWidth="1"/>
    <col min="7425" max="7425" width="10.140625" customWidth="1"/>
    <col min="7426" max="7426" width="10.85546875" customWidth="1"/>
    <col min="7427" max="7427" width="12.28515625" bestFit="1" customWidth="1"/>
    <col min="7675" max="7675" width="5" customWidth="1"/>
    <col min="7676" max="7676" width="13" customWidth="1"/>
    <col min="7677" max="7677" width="30.5703125" customWidth="1"/>
    <col min="7678" max="7679" width="8.28515625" customWidth="1"/>
    <col min="7680" max="7680" width="8.140625" customWidth="1"/>
    <col min="7681" max="7681" width="10.140625" customWidth="1"/>
    <col min="7682" max="7682" width="10.85546875" customWidth="1"/>
    <col min="7683" max="7683" width="12.28515625" bestFit="1" customWidth="1"/>
    <col min="7931" max="7931" width="5" customWidth="1"/>
    <col min="7932" max="7932" width="13" customWidth="1"/>
    <col min="7933" max="7933" width="30.5703125" customWidth="1"/>
    <col min="7934" max="7935" width="8.28515625" customWidth="1"/>
    <col min="7936" max="7936" width="8.140625" customWidth="1"/>
    <col min="7937" max="7937" width="10.140625" customWidth="1"/>
    <col min="7938" max="7938" width="10.85546875" customWidth="1"/>
    <col min="7939" max="7939" width="12.28515625" bestFit="1" customWidth="1"/>
    <col min="8187" max="8187" width="5" customWidth="1"/>
    <col min="8188" max="8188" width="13" customWidth="1"/>
    <col min="8189" max="8189" width="30.5703125" customWidth="1"/>
    <col min="8190" max="8191" width="8.28515625" customWidth="1"/>
    <col min="8192" max="8192" width="8.140625" customWidth="1"/>
    <col min="8193" max="8193" width="10.140625" customWidth="1"/>
    <col min="8194" max="8194" width="10.85546875" customWidth="1"/>
    <col min="8195" max="8195" width="12.28515625" bestFit="1" customWidth="1"/>
    <col min="8443" max="8443" width="5" customWidth="1"/>
    <col min="8444" max="8444" width="13" customWidth="1"/>
    <col min="8445" max="8445" width="30.5703125" customWidth="1"/>
    <col min="8446" max="8447" width="8.28515625" customWidth="1"/>
    <col min="8448" max="8448" width="8.140625" customWidth="1"/>
    <col min="8449" max="8449" width="10.140625" customWidth="1"/>
    <col min="8450" max="8450" width="10.85546875" customWidth="1"/>
    <col min="8451" max="8451" width="12.28515625" bestFit="1" customWidth="1"/>
    <col min="8699" max="8699" width="5" customWidth="1"/>
    <col min="8700" max="8700" width="13" customWidth="1"/>
    <col min="8701" max="8701" width="30.5703125" customWidth="1"/>
    <col min="8702" max="8703" width="8.28515625" customWidth="1"/>
    <col min="8704" max="8704" width="8.140625" customWidth="1"/>
    <col min="8705" max="8705" width="10.140625" customWidth="1"/>
    <col min="8706" max="8706" width="10.85546875" customWidth="1"/>
    <col min="8707" max="8707" width="12.28515625" bestFit="1" customWidth="1"/>
    <col min="8955" max="8955" width="5" customWidth="1"/>
    <col min="8956" max="8956" width="13" customWidth="1"/>
    <col min="8957" max="8957" width="30.5703125" customWidth="1"/>
    <col min="8958" max="8959" width="8.28515625" customWidth="1"/>
    <col min="8960" max="8960" width="8.140625" customWidth="1"/>
    <col min="8961" max="8961" width="10.140625" customWidth="1"/>
    <col min="8962" max="8962" width="10.85546875" customWidth="1"/>
    <col min="8963" max="8963" width="12.28515625" bestFit="1" customWidth="1"/>
    <col min="9211" max="9211" width="5" customWidth="1"/>
    <col min="9212" max="9212" width="13" customWidth="1"/>
    <col min="9213" max="9213" width="30.5703125" customWidth="1"/>
    <col min="9214" max="9215" width="8.28515625" customWidth="1"/>
    <col min="9216" max="9216" width="8.140625" customWidth="1"/>
    <col min="9217" max="9217" width="10.140625" customWidth="1"/>
    <col min="9218" max="9218" width="10.85546875" customWidth="1"/>
    <col min="9219" max="9219" width="12.28515625" bestFit="1" customWidth="1"/>
    <col min="9467" max="9467" width="5" customWidth="1"/>
    <col min="9468" max="9468" width="13" customWidth="1"/>
    <col min="9469" max="9469" width="30.5703125" customWidth="1"/>
    <col min="9470" max="9471" width="8.28515625" customWidth="1"/>
    <col min="9472" max="9472" width="8.140625" customWidth="1"/>
    <col min="9473" max="9473" width="10.140625" customWidth="1"/>
    <col min="9474" max="9474" width="10.85546875" customWidth="1"/>
    <col min="9475" max="9475" width="12.28515625" bestFit="1" customWidth="1"/>
    <col min="9723" max="9723" width="5" customWidth="1"/>
    <col min="9724" max="9724" width="13" customWidth="1"/>
    <col min="9725" max="9725" width="30.5703125" customWidth="1"/>
    <col min="9726" max="9727" width="8.28515625" customWidth="1"/>
    <col min="9728" max="9728" width="8.140625" customWidth="1"/>
    <col min="9729" max="9729" width="10.140625" customWidth="1"/>
    <col min="9730" max="9730" width="10.85546875" customWidth="1"/>
    <col min="9731" max="9731" width="12.28515625" bestFit="1" customWidth="1"/>
    <col min="9979" max="9979" width="5" customWidth="1"/>
    <col min="9980" max="9980" width="13" customWidth="1"/>
    <col min="9981" max="9981" width="30.5703125" customWidth="1"/>
    <col min="9982" max="9983" width="8.28515625" customWidth="1"/>
    <col min="9984" max="9984" width="8.140625" customWidth="1"/>
    <col min="9985" max="9985" width="10.140625" customWidth="1"/>
    <col min="9986" max="9986" width="10.85546875" customWidth="1"/>
    <col min="9987" max="9987" width="12.28515625" bestFit="1" customWidth="1"/>
    <col min="10235" max="10235" width="5" customWidth="1"/>
    <col min="10236" max="10236" width="13" customWidth="1"/>
    <col min="10237" max="10237" width="30.5703125" customWidth="1"/>
    <col min="10238" max="10239" width="8.28515625" customWidth="1"/>
    <col min="10240" max="10240" width="8.140625" customWidth="1"/>
    <col min="10241" max="10241" width="10.140625" customWidth="1"/>
    <col min="10242" max="10242" width="10.85546875" customWidth="1"/>
    <col min="10243" max="10243" width="12.28515625" bestFit="1" customWidth="1"/>
    <col min="10491" max="10491" width="5" customWidth="1"/>
    <col min="10492" max="10492" width="13" customWidth="1"/>
    <col min="10493" max="10493" width="30.5703125" customWidth="1"/>
    <col min="10494" max="10495" width="8.28515625" customWidth="1"/>
    <col min="10496" max="10496" width="8.140625" customWidth="1"/>
    <col min="10497" max="10497" width="10.140625" customWidth="1"/>
    <col min="10498" max="10498" width="10.85546875" customWidth="1"/>
    <col min="10499" max="10499" width="12.28515625" bestFit="1" customWidth="1"/>
    <col min="10747" max="10747" width="5" customWidth="1"/>
    <col min="10748" max="10748" width="13" customWidth="1"/>
    <col min="10749" max="10749" width="30.5703125" customWidth="1"/>
    <col min="10750" max="10751" width="8.28515625" customWidth="1"/>
    <col min="10752" max="10752" width="8.140625" customWidth="1"/>
    <col min="10753" max="10753" width="10.140625" customWidth="1"/>
    <col min="10754" max="10754" width="10.85546875" customWidth="1"/>
    <col min="10755" max="10755" width="12.28515625" bestFit="1" customWidth="1"/>
    <col min="11003" max="11003" width="5" customWidth="1"/>
    <col min="11004" max="11004" width="13" customWidth="1"/>
    <col min="11005" max="11005" width="30.5703125" customWidth="1"/>
    <col min="11006" max="11007" width="8.28515625" customWidth="1"/>
    <col min="11008" max="11008" width="8.140625" customWidth="1"/>
    <col min="11009" max="11009" width="10.140625" customWidth="1"/>
    <col min="11010" max="11010" width="10.85546875" customWidth="1"/>
    <col min="11011" max="11011" width="12.28515625" bestFit="1" customWidth="1"/>
    <col min="11259" max="11259" width="5" customWidth="1"/>
    <col min="11260" max="11260" width="13" customWidth="1"/>
    <col min="11261" max="11261" width="30.5703125" customWidth="1"/>
    <col min="11262" max="11263" width="8.28515625" customWidth="1"/>
    <col min="11264" max="11264" width="8.140625" customWidth="1"/>
    <col min="11265" max="11265" width="10.140625" customWidth="1"/>
    <col min="11266" max="11266" width="10.85546875" customWidth="1"/>
    <col min="11267" max="11267" width="12.28515625" bestFit="1" customWidth="1"/>
    <col min="11515" max="11515" width="5" customWidth="1"/>
    <col min="11516" max="11516" width="13" customWidth="1"/>
    <col min="11517" max="11517" width="30.5703125" customWidth="1"/>
    <col min="11518" max="11519" width="8.28515625" customWidth="1"/>
    <col min="11520" max="11520" width="8.140625" customWidth="1"/>
    <col min="11521" max="11521" width="10.140625" customWidth="1"/>
    <col min="11522" max="11522" width="10.85546875" customWidth="1"/>
    <col min="11523" max="11523" width="12.28515625" bestFit="1" customWidth="1"/>
    <col min="11771" max="11771" width="5" customWidth="1"/>
    <col min="11772" max="11772" width="13" customWidth="1"/>
    <col min="11773" max="11773" width="30.5703125" customWidth="1"/>
    <col min="11774" max="11775" width="8.28515625" customWidth="1"/>
    <col min="11776" max="11776" width="8.140625" customWidth="1"/>
    <col min="11777" max="11777" width="10.140625" customWidth="1"/>
    <col min="11778" max="11778" width="10.85546875" customWidth="1"/>
    <col min="11779" max="11779" width="12.28515625" bestFit="1" customWidth="1"/>
    <col min="12027" max="12027" width="5" customWidth="1"/>
    <col min="12028" max="12028" width="13" customWidth="1"/>
    <col min="12029" max="12029" width="30.5703125" customWidth="1"/>
    <col min="12030" max="12031" width="8.28515625" customWidth="1"/>
    <col min="12032" max="12032" width="8.140625" customWidth="1"/>
    <col min="12033" max="12033" width="10.140625" customWidth="1"/>
    <col min="12034" max="12034" width="10.85546875" customWidth="1"/>
    <col min="12035" max="12035" width="12.28515625" bestFit="1" customWidth="1"/>
    <col min="12283" max="12283" width="5" customWidth="1"/>
    <col min="12284" max="12284" width="13" customWidth="1"/>
    <col min="12285" max="12285" width="30.5703125" customWidth="1"/>
    <col min="12286" max="12287" width="8.28515625" customWidth="1"/>
    <col min="12288" max="12288" width="8.140625" customWidth="1"/>
    <col min="12289" max="12289" width="10.140625" customWidth="1"/>
    <col min="12290" max="12290" width="10.85546875" customWidth="1"/>
    <col min="12291" max="12291" width="12.28515625" bestFit="1" customWidth="1"/>
    <col min="12539" max="12539" width="5" customWidth="1"/>
    <col min="12540" max="12540" width="13" customWidth="1"/>
    <col min="12541" max="12541" width="30.5703125" customWidth="1"/>
    <col min="12542" max="12543" width="8.28515625" customWidth="1"/>
    <col min="12544" max="12544" width="8.140625" customWidth="1"/>
    <col min="12545" max="12545" width="10.140625" customWidth="1"/>
    <col min="12546" max="12546" width="10.85546875" customWidth="1"/>
    <col min="12547" max="12547" width="12.28515625" bestFit="1" customWidth="1"/>
    <col min="12795" max="12795" width="5" customWidth="1"/>
    <col min="12796" max="12796" width="13" customWidth="1"/>
    <col min="12797" max="12797" width="30.5703125" customWidth="1"/>
    <col min="12798" max="12799" width="8.28515625" customWidth="1"/>
    <col min="12800" max="12800" width="8.140625" customWidth="1"/>
    <col min="12801" max="12801" width="10.140625" customWidth="1"/>
    <col min="12802" max="12802" width="10.85546875" customWidth="1"/>
    <col min="12803" max="12803" width="12.28515625" bestFit="1" customWidth="1"/>
    <col min="13051" max="13051" width="5" customWidth="1"/>
    <col min="13052" max="13052" width="13" customWidth="1"/>
    <col min="13053" max="13053" width="30.5703125" customWidth="1"/>
    <col min="13054" max="13055" width="8.28515625" customWidth="1"/>
    <col min="13056" max="13056" width="8.140625" customWidth="1"/>
    <col min="13057" max="13057" width="10.140625" customWidth="1"/>
    <col min="13058" max="13058" width="10.85546875" customWidth="1"/>
    <col min="13059" max="13059" width="12.28515625" bestFit="1" customWidth="1"/>
    <col min="13307" max="13307" width="5" customWidth="1"/>
    <col min="13308" max="13308" width="13" customWidth="1"/>
    <col min="13309" max="13309" width="30.5703125" customWidth="1"/>
    <col min="13310" max="13311" width="8.28515625" customWidth="1"/>
    <col min="13312" max="13312" width="8.140625" customWidth="1"/>
    <col min="13313" max="13313" width="10.140625" customWidth="1"/>
    <col min="13314" max="13314" width="10.85546875" customWidth="1"/>
    <col min="13315" max="13315" width="12.28515625" bestFit="1" customWidth="1"/>
    <col min="13563" max="13563" width="5" customWidth="1"/>
    <col min="13564" max="13564" width="13" customWidth="1"/>
    <col min="13565" max="13565" width="30.5703125" customWidth="1"/>
    <col min="13566" max="13567" width="8.28515625" customWidth="1"/>
    <col min="13568" max="13568" width="8.140625" customWidth="1"/>
    <col min="13569" max="13569" width="10.140625" customWidth="1"/>
    <col min="13570" max="13570" width="10.85546875" customWidth="1"/>
    <col min="13571" max="13571" width="12.28515625" bestFit="1" customWidth="1"/>
    <col min="13819" max="13819" width="5" customWidth="1"/>
    <col min="13820" max="13820" width="13" customWidth="1"/>
    <col min="13821" max="13821" width="30.5703125" customWidth="1"/>
    <col min="13822" max="13823" width="8.28515625" customWidth="1"/>
    <col min="13824" max="13824" width="8.140625" customWidth="1"/>
    <col min="13825" max="13825" width="10.140625" customWidth="1"/>
    <col min="13826" max="13826" width="10.85546875" customWidth="1"/>
    <col min="13827" max="13827" width="12.28515625" bestFit="1" customWidth="1"/>
    <col min="14075" max="14075" width="5" customWidth="1"/>
    <col min="14076" max="14076" width="13" customWidth="1"/>
    <col min="14077" max="14077" width="30.5703125" customWidth="1"/>
    <col min="14078" max="14079" width="8.28515625" customWidth="1"/>
    <col min="14080" max="14080" width="8.140625" customWidth="1"/>
    <col min="14081" max="14081" width="10.140625" customWidth="1"/>
    <col min="14082" max="14082" width="10.85546875" customWidth="1"/>
    <col min="14083" max="14083" width="12.28515625" bestFit="1" customWidth="1"/>
    <col min="14331" max="14331" width="5" customWidth="1"/>
    <col min="14332" max="14332" width="13" customWidth="1"/>
    <col min="14333" max="14333" width="30.5703125" customWidth="1"/>
    <col min="14334" max="14335" width="8.28515625" customWidth="1"/>
    <col min="14336" max="14336" width="8.140625" customWidth="1"/>
    <col min="14337" max="14337" width="10.140625" customWidth="1"/>
    <col min="14338" max="14338" width="10.85546875" customWidth="1"/>
    <col min="14339" max="14339" width="12.28515625" bestFit="1" customWidth="1"/>
    <col min="14587" max="14587" width="5" customWidth="1"/>
    <col min="14588" max="14588" width="13" customWidth="1"/>
    <col min="14589" max="14589" width="30.5703125" customWidth="1"/>
    <col min="14590" max="14591" width="8.28515625" customWidth="1"/>
    <col min="14592" max="14592" width="8.140625" customWidth="1"/>
    <col min="14593" max="14593" width="10.140625" customWidth="1"/>
    <col min="14594" max="14594" width="10.85546875" customWidth="1"/>
    <col min="14595" max="14595" width="12.28515625" bestFit="1" customWidth="1"/>
    <col min="14843" max="14843" width="5" customWidth="1"/>
    <col min="14844" max="14844" width="13" customWidth="1"/>
    <col min="14845" max="14845" width="30.5703125" customWidth="1"/>
    <col min="14846" max="14847" width="8.28515625" customWidth="1"/>
    <col min="14848" max="14848" width="8.140625" customWidth="1"/>
    <col min="14849" max="14849" width="10.140625" customWidth="1"/>
    <col min="14850" max="14850" width="10.85546875" customWidth="1"/>
    <col min="14851" max="14851" width="12.28515625" bestFit="1" customWidth="1"/>
    <col min="15099" max="15099" width="5" customWidth="1"/>
    <col min="15100" max="15100" width="13" customWidth="1"/>
    <col min="15101" max="15101" width="30.5703125" customWidth="1"/>
    <col min="15102" max="15103" width="8.28515625" customWidth="1"/>
    <col min="15104" max="15104" width="8.140625" customWidth="1"/>
    <col min="15105" max="15105" width="10.140625" customWidth="1"/>
    <col min="15106" max="15106" width="10.85546875" customWidth="1"/>
    <col min="15107" max="15107" width="12.28515625" bestFit="1" customWidth="1"/>
    <col min="15355" max="15355" width="5" customWidth="1"/>
    <col min="15356" max="15356" width="13" customWidth="1"/>
    <col min="15357" max="15357" width="30.5703125" customWidth="1"/>
    <col min="15358" max="15359" width="8.28515625" customWidth="1"/>
    <col min="15360" max="15360" width="8.140625" customWidth="1"/>
    <col min="15361" max="15361" width="10.140625" customWidth="1"/>
    <col min="15362" max="15362" width="10.85546875" customWidth="1"/>
    <col min="15363" max="15363" width="12.28515625" bestFit="1" customWidth="1"/>
    <col min="15611" max="15611" width="5" customWidth="1"/>
    <col min="15612" max="15612" width="13" customWidth="1"/>
    <col min="15613" max="15613" width="30.5703125" customWidth="1"/>
    <col min="15614" max="15615" width="8.28515625" customWidth="1"/>
    <col min="15616" max="15616" width="8.140625" customWidth="1"/>
    <col min="15617" max="15617" width="10.140625" customWidth="1"/>
    <col min="15618" max="15618" width="10.85546875" customWidth="1"/>
    <col min="15619" max="15619" width="12.28515625" bestFit="1" customWidth="1"/>
    <col min="15867" max="15867" width="5" customWidth="1"/>
    <col min="15868" max="15868" width="13" customWidth="1"/>
    <col min="15869" max="15869" width="30.5703125" customWidth="1"/>
    <col min="15870" max="15871" width="8.28515625" customWidth="1"/>
    <col min="15872" max="15872" width="8.140625" customWidth="1"/>
    <col min="15873" max="15873" width="10.140625" customWidth="1"/>
    <col min="15874" max="15874" width="10.85546875" customWidth="1"/>
    <col min="15875" max="15875" width="12.28515625" bestFit="1" customWidth="1"/>
    <col min="16123" max="16123" width="5" customWidth="1"/>
    <col min="16124" max="16124" width="13" customWidth="1"/>
    <col min="16125" max="16125" width="30.5703125" customWidth="1"/>
    <col min="16126" max="16127" width="8.28515625" customWidth="1"/>
    <col min="16128" max="16128" width="8.140625" customWidth="1"/>
    <col min="16129" max="16129" width="10.140625" customWidth="1"/>
    <col min="16130" max="16130" width="10.85546875" customWidth="1"/>
    <col min="16131" max="16131" width="12.28515625" bestFit="1" customWidth="1"/>
  </cols>
  <sheetData>
    <row r="1" spans="1:13" ht="25.5" hidden="1" customHeight="1">
      <c r="A1" s="66" t="s">
        <v>4</v>
      </c>
      <c r="B1" s="66"/>
      <c r="C1" s="66"/>
      <c r="D1" s="66"/>
      <c r="E1" s="66"/>
      <c r="F1" s="66"/>
      <c r="G1" s="66"/>
    </row>
    <row r="2" spans="1:13" s="5" customFormat="1" ht="23.25" customHeight="1">
      <c r="A2" s="15" t="s">
        <v>106</v>
      </c>
    </row>
    <row r="3" spans="1:13" s="5" customFormat="1" ht="23.25" customHeight="1">
      <c r="A3" s="15" t="s">
        <v>46</v>
      </c>
    </row>
    <row r="4" spans="1:13" s="5" customFormat="1" ht="23.25" customHeight="1">
      <c r="A4" s="15" t="s">
        <v>48</v>
      </c>
    </row>
    <row r="5" spans="1:13" s="5" customFormat="1" ht="23.25" customHeight="1">
      <c r="A5" s="16" t="s">
        <v>107</v>
      </c>
      <c r="B5" s="17"/>
    </row>
    <row r="6" spans="1:13" s="5" customFormat="1" ht="23.25" customHeight="1">
      <c r="A6" s="15" t="s">
        <v>55</v>
      </c>
      <c r="M6" s="5" t="s">
        <v>44</v>
      </c>
    </row>
    <row r="7" spans="1:13" s="2" customFormat="1" ht="9.75" customHeight="1">
      <c r="A7" s="7"/>
      <c r="B7" s="7"/>
      <c r="C7" s="7"/>
      <c r="D7" s="7"/>
      <c r="E7" s="7"/>
      <c r="F7" s="7"/>
      <c r="G7" s="8"/>
    </row>
    <row r="8" spans="1:13" ht="43.5" customHeight="1">
      <c r="A8" s="18" t="s">
        <v>0</v>
      </c>
      <c r="B8" s="18" t="s">
        <v>1</v>
      </c>
      <c r="C8" s="18" t="s">
        <v>7</v>
      </c>
      <c r="D8" s="18" t="s">
        <v>6</v>
      </c>
      <c r="E8" s="19" t="s">
        <v>2</v>
      </c>
      <c r="F8" s="19" t="s">
        <v>3</v>
      </c>
      <c r="G8" s="19" t="s">
        <v>5</v>
      </c>
      <c r="H8" s="74" t="s">
        <v>49</v>
      </c>
    </row>
    <row r="9" spans="1:13" ht="27.75" customHeight="1">
      <c r="A9" s="68">
        <v>14</v>
      </c>
      <c r="B9" s="68" t="s">
        <v>129</v>
      </c>
      <c r="C9" s="68" t="s">
        <v>130</v>
      </c>
      <c r="D9" s="68">
        <v>1.4770000000000001</v>
      </c>
      <c r="E9" s="115" t="s">
        <v>54</v>
      </c>
      <c r="F9" s="115">
        <v>5</v>
      </c>
      <c r="G9" s="115">
        <f t="shared" ref="G9:G39" si="0">F9*6*D9</f>
        <v>44.31</v>
      </c>
      <c r="H9" s="82" t="s">
        <v>257</v>
      </c>
    </row>
    <row r="10" spans="1:13" ht="27.75" customHeight="1">
      <c r="A10" s="68">
        <v>15</v>
      </c>
      <c r="B10" s="68" t="s">
        <v>131</v>
      </c>
      <c r="C10" s="68" t="s">
        <v>132</v>
      </c>
      <c r="D10" s="68">
        <v>1.8129999999999999</v>
      </c>
      <c r="E10" s="115" t="s">
        <v>54</v>
      </c>
      <c r="F10" s="115">
        <v>3</v>
      </c>
      <c r="G10" s="115">
        <f t="shared" si="0"/>
        <v>32.634</v>
      </c>
      <c r="H10" s="82" t="s">
        <v>257</v>
      </c>
    </row>
    <row r="11" spans="1:13" ht="27.75" customHeight="1">
      <c r="A11" s="68">
        <v>16</v>
      </c>
      <c r="B11" s="68" t="s">
        <v>133</v>
      </c>
      <c r="C11" s="68" t="s">
        <v>134</v>
      </c>
      <c r="D11" s="68">
        <v>0.41499999999999998</v>
      </c>
      <c r="E11" s="115" t="s">
        <v>54</v>
      </c>
      <c r="F11" s="115">
        <v>3</v>
      </c>
      <c r="G11" s="115">
        <f t="shared" si="0"/>
        <v>7.47</v>
      </c>
      <c r="H11" s="82"/>
    </row>
    <row r="12" spans="1:13" ht="27.75" customHeight="1">
      <c r="A12" s="68">
        <v>17</v>
      </c>
      <c r="B12" s="68" t="s">
        <v>135</v>
      </c>
      <c r="C12" s="68" t="s">
        <v>136</v>
      </c>
      <c r="D12" s="68">
        <v>1.0900000000000001</v>
      </c>
      <c r="E12" s="115" t="s">
        <v>54</v>
      </c>
      <c r="F12" s="115">
        <v>1</v>
      </c>
      <c r="G12" s="115">
        <f t="shared" si="0"/>
        <v>6.5400000000000009</v>
      </c>
      <c r="H12" s="82"/>
    </row>
    <row r="13" spans="1:13" ht="27.75" customHeight="1">
      <c r="A13" s="68">
        <v>18</v>
      </c>
      <c r="B13" s="68" t="s">
        <v>127</v>
      </c>
      <c r="C13" s="68" t="s">
        <v>137</v>
      </c>
      <c r="D13" s="68">
        <v>1.18</v>
      </c>
      <c r="E13" s="115" t="s">
        <v>54</v>
      </c>
      <c r="F13" s="115">
        <v>1</v>
      </c>
      <c r="G13" s="115">
        <f t="shared" si="0"/>
        <v>7.08</v>
      </c>
      <c r="H13" s="82" t="s">
        <v>258</v>
      </c>
    </row>
    <row r="14" spans="1:13" ht="27.75" customHeight="1">
      <c r="A14" s="68">
        <v>19</v>
      </c>
      <c r="B14" s="68" t="s">
        <v>138</v>
      </c>
      <c r="C14" s="68" t="s">
        <v>139</v>
      </c>
      <c r="D14" s="68">
        <v>0.23</v>
      </c>
      <c r="E14" s="115" t="s">
        <v>54</v>
      </c>
      <c r="F14" s="115">
        <v>1</v>
      </c>
      <c r="G14" s="115">
        <f t="shared" si="0"/>
        <v>1.3800000000000001</v>
      </c>
      <c r="H14" s="82" t="s">
        <v>258</v>
      </c>
    </row>
    <row r="15" spans="1:13" ht="27.75" customHeight="1">
      <c r="A15" s="68">
        <v>20</v>
      </c>
      <c r="B15" s="68" t="s">
        <v>140</v>
      </c>
      <c r="C15" s="68" t="s">
        <v>141</v>
      </c>
      <c r="D15" s="68">
        <v>1.2689999999999999</v>
      </c>
      <c r="E15" s="115" t="s">
        <v>54</v>
      </c>
      <c r="F15" s="115">
        <v>1</v>
      </c>
      <c r="G15" s="115">
        <f t="shared" si="0"/>
        <v>7.613999999999999</v>
      </c>
      <c r="H15" s="103" t="s">
        <v>122</v>
      </c>
    </row>
    <row r="16" spans="1:13" ht="27.75" customHeight="1">
      <c r="A16" s="68">
        <v>21</v>
      </c>
      <c r="B16" s="68" t="s">
        <v>142</v>
      </c>
      <c r="C16" s="68" t="s">
        <v>143</v>
      </c>
      <c r="D16" s="68">
        <v>0.28299999999999997</v>
      </c>
      <c r="E16" s="115" t="s">
        <v>54</v>
      </c>
      <c r="F16" s="115">
        <v>6</v>
      </c>
      <c r="G16" s="115">
        <f t="shared" si="0"/>
        <v>10.187999999999999</v>
      </c>
      <c r="H16" s="82"/>
    </row>
    <row r="17" spans="1:8" ht="28.5" customHeight="1">
      <c r="A17" s="68">
        <v>22</v>
      </c>
      <c r="B17" s="68" t="s">
        <v>144</v>
      </c>
      <c r="C17" s="68" t="s">
        <v>145</v>
      </c>
      <c r="D17" s="68">
        <v>2</v>
      </c>
      <c r="E17" s="115" t="s">
        <v>54</v>
      </c>
      <c r="F17" s="115">
        <v>2</v>
      </c>
      <c r="G17" s="115">
        <f t="shared" si="0"/>
        <v>24</v>
      </c>
      <c r="H17" s="82"/>
    </row>
    <row r="18" spans="1:8" ht="28.5" customHeight="1">
      <c r="A18" s="68">
        <v>23</v>
      </c>
      <c r="B18" s="68" t="s">
        <v>146</v>
      </c>
      <c r="C18" s="68" t="s">
        <v>147</v>
      </c>
      <c r="D18" s="68">
        <v>0.86</v>
      </c>
      <c r="E18" s="115" t="s">
        <v>54</v>
      </c>
      <c r="F18" s="115">
        <v>1</v>
      </c>
      <c r="G18" s="115">
        <f t="shared" si="0"/>
        <v>5.16</v>
      </c>
      <c r="H18" s="82"/>
    </row>
    <row r="19" spans="1:8" ht="28.5" customHeight="1">
      <c r="A19" s="68">
        <v>24</v>
      </c>
      <c r="B19" s="68" t="s">
        <v>149</v>
      </c>
      <c r="C19" s="68" t="s">
        <v>150</v>
      </c>
      <c r="D19" s="68">
        <v>1.22</v>
      </c>
      <c r="E19" s="115" t="s">
        <v>54</v>
      </c>
      <c r="F19" s="115">
        <v>1</v>
      </c>
      <c r="G19" s="115">
        <f t="shared" si="0"/>
        <v>7.32</v>
      </c>
      <c r="H19" s="82"/>
    </row>
    <row r="20" spans="1:8" ht="28.5" customHeight="1">
      <c r="A20" s="68">
        <v>25</v>
      </c>
      <c r="B20" s="68" t="s">
        <v>148</v>
      </c>
      <c r="C20" s="68" t="s">
        <v>151</v>
      </c>
      <c r="D20" s="68">
        <v>1.1579999999999999</v>
      </c>
      <c r="E20" s="115" t="s">
        <v>54</v>
      </c>
      <c r="F20" s="115">
        <v>1</v>
      </c>
      <c r="G20" s="115">
        <f t="shared" si="0"/>
        <v>6.9479999999999995</v>
      </c>
      <c r="H20" s="82"/>
    </row>
    <row r="21" spans="1:8" ht="28.5" customHeight="1">
      <c r="A21" s="68">
        <v>26</v>
      </c>
      <c r="B21" s="68" t="s">
        <v>156</v>
      </c>
      <c r="C21" s="68" t="s">
        <v>155</v>
      </c>
      <c r="D21" s="68">
        <v>0.47</v>
      </c>
      <c r="E21" s="115" t="s">
        <v>54</v>
      </c>
      <c r="F21" s="115">
        <v>5</v>
      </c>
      <c r="G21" s="115">
        <f t="shared" si="0"/>
        <v>14.1</v>
      </c>
      <c r="H21" s="82"/>
    </row>
    <row r="22" spans="1:8" ht="28.5" customHeight="1">
      <c r="A22" s="68">
        <v>27</v>
      </c>
      <c r="B22" s="68" t="s">
        <v>152</v>
      </c>
      <c r="C22" s="68" t="s">
        <v>153</v>
      </c>
      <c r="D22" s="68">
        <v>1.48</v>
      </c>
      <c r="E22" s="115" t="s">
        <v>54</v>
      </c>
      <c r="F22" s="115">
        <v>1</v>
      </c>
      <c r="G22" s="115">
        <f t="shared" si="0"/>
        <v>8.879999999999999</v>
      </c>
      <c r="H22" s="82"/>
    </row>
    <row r="23" spans="1:8" ht="28.5" customHeight="1">
      <c r="A23" s="68">
        <v>28</v>
      </c>
      <c r="B23" s="68" t="s">
        <v>154</v>
      </c>
      <c r="C23" s="68" t="s">
        <v>155</v>
      </c>
      <c r="D23" s="68">
        <v>2.02</v>
      </c>
      <c r="E23" s="115" t="s">
        <v>54</v>
      </c>
      <c r="F23" s="115">
        <f>3+9</f>
        <v>12</v>
      </c>
      <c r="G23" s="115">
        <f t="shared" si="0"/>
        <v>145.44</v>
      </c>
      <c r="H23" s="82"/>
    </row>
    <row r="24" spans="1:8" ht="28.5" customHeight="1">
      <c r="A24" s="68">
        <v>29</v>
      </c>
      <c r="B24" s="68" t="s">
        <v>157</v>
      </c>
      <c r="C24" s="68" t="s">
        <v>158</v>
      </c>
      <c r="D24" s="68">
        <v>0.47599999999999998</v>
      </c>
      <c r="E24" s="115" t="s">
        <v>54</v>
      </c>
      <c r="F24" s="115">
        <v>1</v>
      </c>
      <c r="G24" s="115">
        <f t="shared" si="0"/>
        <v>2.8559999999999999</v>
      </c>
      <c r="H24" s="103"/>
    </row>
    <row r="25" spans="1:8" ht="28.5" customHeight="1">
      <c r="A25" s="68">
        <v>30</v>
      </c>
      <c r="B25" s="68" t="s">
        <v>159</v>
      </c>
      <c r="C25" s="68" t="s">
        <v>160</v>
      </c>
      <c r="D25" s="68">
        <v>0.97</v>
      </c>
      <c r="E25" s="115" t="s">
        <v>54</v>
      </c>
      <c r="F25" s="115">
        <v>1</v>
      </c>
      <c r="G25" s="115">
        <f t="shared" si="0"/>
        <v>5.82</v>
      </c>
      <c r="H25" s="103" t="s">
        <v>122</v>
      </c>
    </row>
    <row r="26" spans="1:8" ht="28.5" customHeight="1">
      <c r="A26" s="68">
        <v>31</v>
      </c>
      <c r="B26" s="68" t="s">
        <v>161</v>
      </c>
      <c r="C26" s="68" t="s">
        <v>162</v>
      </c>
      <c r="D26" s="68">
        <v>2.82</v>
      </c>
      <c r="E26" s="115" t="s">
        <v>54</v>
      </c>
      <c r="F26" s="115">
        <v>4</v>
      </c>
      <c r="G26" s="115">
        <f t="shared" si="0"/>
        <v>67.679999999999993</v>
      </c>
      <c r="H26" s="82"/>
    </row>
    <row r="27" spans="1:8" ht="28.5" customHeight="1">
      <c r="A27" s="68">
        <v>32</v>
      </c>
      <c r="B27" s="68" t="s">
        <v>163</v>
      </c>
      <c r="C27" s="68" t="s">
        <v>164</v>
      </c>
      <c r="D27" s="68">
        <v>0.438</v>
      </c>
      <c r="E27" s="115" t="s">
        <v>54</v>
      </c>
      <c r="F27" s="115">
        <v>2</v>
      </c>
      <c r="G27" s="115">
        <f t="shared" si="0"/>
        <v>5.2560000000000002</v>
      </c>
      <c r="H27" s="82"/>
    </row>
    <row r="28" spans="1:8" ht="28.5" customHeight="1">
      <c r="A28" s="68">
        <v>33</v>
      </c>
      <c r="B28" s="68" t="s">
        <v>165</v>
      </c>
      <c r="C28" s="68" t="s">
        <v>166</v>
      </c>
      <c r="D28" s="68">
        <v>0.61499999999999999</v>
      </c>
      <c r="E28" s="115" t="s">
        <v>54</v>
      </c>
      <c r="F28" s="115">
        <v>1</v>
      </c>
      <c r="G28" s="115">
        <f t="shared" si="0"/>
        <v>3.69</v>
      </c>
      <c r="H28" s="82"/>
    </row>
    <row r="29" spans="1:8" ht="28.5" customHeight="1">
      <c r="A29" s="68">
        <v>34</v>
      </c>
      <c r="B29" s="68" t="s">
        <v>167</v>
      </c>
      <c r="C29" s="68" t="s">
        <v>168</v>
      </c>
      <c r="D29" s="68">
        <v>0.63200000000000001</v>
      </c>
      <c r="E29" s="115" t="s">
        <v>54</v>
      </c>
      <c r="F29" s="115">
        <v>1</v>
      </c>
      <c r="G29" s="115">
        <f t="shared" si="0"/>
        <v>3.7919999999999998</v>
      </c>
      <c r="H29" s="82"/>
    </row>
    <row r="30" spans="1:8" ht="30" customHeight="1">
      <c r="A30" s="68">
        <v>35</v>
      </c>
      <c r="B30" s="68" t="s">
        <v>169</v>
      </c>
      <c r="C30" s="68" t="s">
        <v>170</v>
      </c>
      <c r="D30" s="68">
        <v>1.425</v>
      </c>
      <c r="E30" s="98" t="s">
        <v>54</v>
      </c>
      <c r="F30" s="98">
        <v>1</v>
      </c>
      <c r="G30" s="98">
        <f t="shared" si="0"/>
        <v>8.5500000000000007</v>
      </c>
      <c r="H30" s="82"/>
    </row>
    <row r="31" spans="1:8" ht="30" customHeight="1">
      <c r="A31" s="68">
        <v>36</v>
      </c>
      <c r="B31" s="68" t="s">
        <v>171</v>
      </c>
      <c r="C31" s="68" t="s">
        <v>172</v>
      </c>
      <c r="D31" s="68">
        <v>1.2350000000000001</v>
      </c>
      <c r="E31" s="98" t="s">
        <v>54</v>
      </c>
      <c r="F31" s="98">
        <v>2</v>
      </c>
      <c r="G31" s="98">
        <f t="shared" si="0"/>
        <v>14.82</v>
      </c>
      <c r="H31" s="82"/>
    </row>
    <row r="32" spans="1:8" ht="30" customHeight="1">
      <c r="A32" s="68">
        <v>37</v>
      </c>
      <c r="B32" s="68" t="s">
        <v>173</v>
      </c>
      <c r="C32" s="68" t="s">
        <v>174</v>
      </c>
      <c r="D32" s="68">
        <v>0.22</v>
      </c>
      <c r="E32" s="98" t="s">
        <v>54</v>
      </c>
      <c r="F32" s="98">
        <v>1</v>
      </c>
      <c r="G32" s="98">
        <f t="shared" si="0"/>
        <v>1.32</v>
      </c>
      <c r="H32" s="82"/>
    </row>
    <row r="33" spans="1:8" ht="30" customHeight="1">
      <c r="A33" s="68">
        <v>38</v>
      </c>
      <c r="B33" s="68" t="s">
        <v>175</v>
      </c>
      <c r="C33" s="68" t="s">
        <v>176</v>
      </c>
      <c r="D33" s="68">
        <v>0.22</v>
      </c>
      <c r="E33" s="98" t="s">
        <v>54</v>
      </c>
      <c r="F33" s="98">
        <v>1</v>
      </c>
      <c r="G33" s="98">
        <f t="shared" si="0"/>
        <v>1.32</v>
      </c>
      <c r="H33" s="82"/>
    </row>
    <row r="34" spans="1:8" ht="30" customHeight="1">
      <c r="A34" s="68">
        <v>39</v>
      </c>
      <c r="B34" s="68" t="s">
        <v>177</v>
      </c>
      <c r="C34" s="68" t="s">
        <v>178</v>
      </c>
      <c r="D34" s="68">
        <v>0.29299999999999998</v>
      </c>
      <c r="E34" s="98" t="s">
        <v>54</v>
      </c>
      <c r="F34" s="98">
        <v>1</v>
      </c>
      <c r="G34" s="98">
        <f t="shared" si="0"/>
        <v>1.758</v>
      </c>
      <c r="H34" s="82"/>
    </row>
    <row r="35" spans="1:8" ht="30" customHeight="1">
      <c r="A35" s="68">
        <v>40</v>
      </c>
      <c r="B35" s="68" t="s">
        <v>179</v>
      </c>
      <c r="C35" s="68" t="s">
        <v>180</v>
      </c>
      <c r="D35" s="68">
        <v>0.443</v>
      </c>
      <c r="E35" s="98" t="s">
        <v>54</v>
      </c>
      <c r="F35" s="98">
        <v>1</v>
      </c>
      <c r="G35" s="98">
        <f t="shared" si="0"/>
        <v>2.6579999999999999</v>
      </c>
      <c r="H35" s="82"/>
    </row>
    <row r="36" spans="1:8" ht="30" customHeight="1">
      <c r="A36" s="68">
        <v>41</v>
      </c>
      <c r="B36" s="68" t="s">
        <v>181</v>
      </c>
      <c r="C36" s="68" t="s">
        <v>182</v>
      </c>
      <c r="D36" s="68">
        <v>1.24</v>
      </c>
      <c r="E36" s="98" t="s">
        <v>54</v>
      </c>
      <c r="F36" s="98">
        <v>1</v>
      </c>
      <c r="G36" s="98">
        <f t="shared" si="0"/>
        <v>7.4399999999999995</v>
      </c>
      <c r="H36" s="82"/>
    </row>
    <row r="37" spans="1:8" ht="30" customHeight="1">
      <c r="A37" s="68">
        <v>42</v>
      </c>
      <c r="B37" s="68" t="s">
        <v>183</v>
      </c>
      <c r="C37" s="68" t="s">
        <v>184</v>
      </c>
      <c r="D37" s="68">
        <v>1.425</v>
      </c>
      <c r="E37" s="98" t="s">
        <v>54</v>
      </c>
      <c r="F37" s="98">
        <v>1</v>
      </c>
      <c r="G37" s="98">
        <f t="shared" si="0"/>
        <v>8.5500000000000007</v>
      </c>
      <c r="H37" s="82"/>
    </row>
    <row r="38" spans="1:8" ht="30" customHeight="1">
      <c r="A38" s="68">
        <v>43</v>
      </c>
      <c r="B38" s="68" t="s">
        <v>185</v>
      </c>
      <c r="C38" s="68" t="s">
        <v>186</v>
      </c>
      <c r="D38" s="68">
        <v>1.155</v>
      </c>
      <c r="E38" s="98" t="s">
        <v>54</v>
      </c>
      <c r="F38" s="98">
        <v>2</v>
      </c>
      <c r="G38" s="98">
        <f t="shared" si="0"/>
        <v>13.86</v>
      </c>
      <c r="H38" s="82"/>
    </row>
    <row r="39" spans="1:8" ht="30" customHeight="1">
      <c r="A39" s="68">
        <v>44</v>
      </c>
      <c r="B39" s="68" t="s">
        <v>187</v>
      </c>
      <c r="C39" s="68" t="s">
        <v>188</v>
      </c>
      <c r="D39" s="68">
        <v>0.42</v>
      </c>
      <c r="E39" s="98" t="s">
        <v>54</v>
      </c>
      <c r="F39" s="98">
        <v>1</v>
      </c>
      <c r="G39" s="98">
        <f t="shared" si="0"/>
        <v>2.52</v>
      </c>
      <c r="H39" s="82" t="s">
        <v>189</v>
      </c>
    </row>
    <row r="40" spans="1:8" ht="43.5" customHeight="1">
      <c r="A40" s="69"/>
      <c r="B40" s="125" t="s">
        <v>50</v>
      </c>
      <c r="C40" s="125"/>
      <c r="D40" s="125"/>
      <c r="E40" s="125"/>
      <c r="F40" s="69"/>
      <c r="G40" s="70">
        <f>SUM(G9:G39)</f>
        <v>480.95399999999989</v>
      </c>
      <c r="H40" s="75"/>
    </row>
    <row r="41" spans="1:8" ht="6" customHeight="1">
      <c r="A41" s="3"/>
      <c r="B41" s="4"/>
      <c r="C41" s="4"/>
      <c r="D41" s="4"/>
      <c r="E41" s="4"/>
      <c r="F41" s="4"/>
      <c r="G41" s="4"/>
    </row>
    <row r="42" spans="1:8" ht="24.75" customHeight="1">
      <c r="A42" s="9"/>
      <c r="B42" s="10"/>
      <c r="C42" s="65"/>
      <c r="D42" s="65"/>
      <c r="E42" s="65"/>
      <c r="F42" s="65"/>
      <c r="G42" s="65"/>
    </row>
    <row r="43" spans="1:8" ht="24.75" customHeight="1">
      <c r="A43" s="3"/>
      <c r="B43" s="4"/>
      <c r="C43" s="4"/>
      <c r="D43" s="4"/>
      <c r="E43" s="4"/>
      <c r="F43" s="4"/>
      <c r="G43" s="4"/>
    </row>
    <row r="44" spans="1:8" ht="17.25" customHeight="1">
      <c r="A44" s="64"/>
      <c r="B44" s="64"/>
      <c r="C44" s="64"/>
      <c r="D44" s="64"/>
      <c r="E44" s="64"/>
      <c r="F44" s="64"/>
      <c r="G44" s="64"/>
    </row>
    <row r="45" spans="1:8" s="1" customFormat="1" ht="17.25" customHeight="1">
      <c r="A45" s="63"/>
      <c r="B45" s="63"/>
      <c r="C45" s="63"/>
      <c r="D45" s="63"/>
      <c r="E45" s="63"/>
      <c r="F45" s="63"/>
      <c r="G45" s="63"/>
    </row>
    <row r="46" spans="1:8" ht="20.25" customHeight="1">
      <c r="A46" s="4"/>
      <c r="B46" s="4"/>
      <c r="C46" s="4"/>
      <c r="D46" s="4"/>
      <c r="E46" s="4"/>
      <c r="F46" s="4"/>
      <c r="G46" s="4"/>
    </row>
    <row r="47" spans="1:8" ht="26.25" customHeight="1">
      <c r="A47" s="3"/>
      <c r="B47" s="4"/>
      <c r="C47" s="4"/>
      <c r="D47" s="4"/>
      <c r="E47" s="4"/>
      <c r="F47" s="4"/>
      <c r="G47" s="4"/>
    </row>
    <row r="48" spans="1:8" ht="26.25" customHeight="1">
      <c r="A48" s="3"/>
      <c r="B48" s="4"/>
      <c r="C48" s="4"/>
      <c r="D48" s="4"/>
      <c r="E48" s="4"/>
      <c r="F48" s="4"/>
      <c r="G48" s="4"/>
    </row>
    <row r="49" spans="1:7" ht="26.25" customHeight="1">
      <c r="A49" s="3"/>
      <c r="B49" s="4"/>
      <c r="C49" s="4"/>
      <c r="D49" s="4"/>
      <c r="E49" s="4"/>
      <c r="F49" s="4"/>
      <c r="G49" s="4"/>
    </row>
    <row r="50" spans="1:7" ht="26.25" customHeight="1">
      <c r="A50" s="3"/>
      <c r="B50" s="4"/>
      <c r="C50" s="4"/>
      <c r="D50" s="4"/>
      <c r="E50" s="4"/>
      <c r="F50" s="4"/>
      <c r="G50" s="4"/>
    </row>
    <row r="51" spans="1:7" ht="26.25" customHeight="1">
      <c r="A51" s="3"/>
      <c r="B51" s="4"/>
      <c r="C51" s="4"/>
      <c r="D51" s="4"/>
      <c r="E51" s="4"/>
      <c r="F51" s="4"/>
      <c r="G51" s="4"/>
    </row>
    <row r="52" spans="1:7" ht="26.25" customHeight="1">
      <c r="A52" s="3"/>
      <c r="B52" s="4"/>
      <c r="C52" s="4"/>
      <c r="D52" s="4"/>
      <c r="E52" s="4"/>
      <c r="F52" s="4"/>
      <c r="G52" s="4"/>
    </row>
    <row r="53" spans="1:7" ht="15.75">
      <c r="A53" s="3"/>
      <c r="B53" s="4"/>
      <c r="C53" s="4"/>
      <c r="D53" s="4"/>
      <c r="E53" s="4"/>
      <c r="F53" s="4"/>
      <c r="G53" s="4"/>
    </row>
    <row r="54" spans="1:7" ht="15.75">
      <c r="A54" s="3"/>
      <c r="B54" s="4"/>
      <c r="C54" s="4"/>
      <c r="D54" s="4"/>
      <c r="E54" s="4"/>
      <c r="F54" s="4"/>
      <c r="G54" s="4"/>
    </row>
    <row r="55" spans="1:7" ht="15.75">
      <c r="A55" s="3"/>
      <c r="B55" s="4"/>
      <c r="C55" s="4"/>
      <c r="D55" s="4"/>
      <c r="E55" s="4"/>
      <c r="F55" s="4"/>
      <c r="G55" s="4"/>
    </row>
    <row r="56" spans="1:7" ht="15.75">
      <c r="A56" s="3"/>
      <c r="B56" s="4"/>
      <c r="C56" s="4"/>
      <c r="D56" s="4"/>
      <c r="E56" s="4"/>
      <c r="F56" s="4"/>
      <c r="G56" s="4"/>
    </row>
    <row r="57" spans="1:7" ht="15.75">
      <c r="A57" s="3"/>
      <c r="B57" s="4"/>
      <c r="C57" s="4"/>
      <c r="D57" s="4"/>
      <c r="E57" s="4"/>
      <c r="F57" s="4"/>
      <c r="G57" s="4"/>
    </row>
    <row r="58" spans="1:7" ht="15.75">
      <c r="A58" s="3"/>
      <c r="B58" s="4"/>
      <c r="C58" s="4"/>
      <c r="D58" s="4"/>
      <c r="E58" s="4"/>
      <c r="F58" s="4"/>
      <c r="G58" s="4"/>
    </row>
    <row r="59" spans="1:7">
      <c r="A59"/>
    </row>
    <row r="60" spans="1:7">
      <c r="A60"/>
    </row>
  </sheetData>
  <mergeCells count="1">
    <mergeCell ref="B40:E40"/>
  </mergeCells>
  <pageMargins left="0.42" right="0.46" top="0.22" bottom="0.75" header="0.19" footer="0.66"/>
  <pageSetup paperSize="9" scale="8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tabSelected="1" topLeftCell="A4" zoomScale="77" zoomScaleNormal="77" workbookViewId="0">
      <selection activeCell="F18" sqref="F18"/>
    </sheetView>
  </sheetViews>
  <sheetFormatPr defaultRowHeight="15"/>
  <cols>
    <col min="1" max="1" width="7" customWidth="1"/>
    <col min="2" max="2" width="23.28515625" customWidth="1"/>
    <col min="3" max="3" width="43.7109375" customWidth="1"/>
    <col min="4" max="4" width="9.28515625" customWidth="1"/>
    <col min="5" max="5" width="10.140625" customWidth="1"/>
    <col min="6" max="6" width="19.5703125" customWidth="1"/>
  </cols>
  <sheetData>
    <row r="1" spans="1:8" ht="18.75">
      <c r="A1" s="135" t="s">
        <v>59</v>
      </c>
      <c r="B1" s="135"/>
      <c r="C1" s="135"/>
      <c r="D1" s="135"/>
      <c r="E1" s="135"/>
      <c r="F1" s="135"/>
    </row>
    <row r="2" spans="1:8" ht="20.25">
      <c r="A2" s="22"/>
      <c r="B2" s="127" t="s">
        <v>65</v>
      </c>
      <c r="C2" s="127"/>
      <c r="D2" s="127"/>
      <c r="E2" s="127"/>
      <c r="F2" s="127"/>
    </row>
    <row r="3" spans="1:8" ht="23.25" customHeight="1">
      <c r="A3" s="15" t="s">
        <v>229</v>
      </c>
      <c r="B3" s="5"/>
      <c r="C3" s="5"/>
      <c r="D3" s="5"/>
      <c r="E3" s="5"/>
      <c r="F3" s="5"/>
      <c r="G3" s="5"/>
      <c r="H3" s="5"/>
    </row>
    <row r="4" spans="1:8" ht="23.25" customHeight="1">
      <c r="A4" s="15" t="s">
        <v>13</v>
      </c>
      <c r="B4" s="5"/>
      <c r="C4" s="5"/>
      <c r="D4" s="5"/>
      <c r="E4" s="5"/>
      <c r="F4" s="5"/>
      <c r="G4" s="5"/>
      <c r="H4" s="5"/>
    </row>
    <row r="5" spans="1:8" ht="23.25" customHeight="1">
      <c r="A5" s="15" t="s">
        <v>62</v>
      </c>
      <c r="B5" s="5"/>
      <c r="C5" s="5"/>
      <c r="D5" s="5"/>
      <c r="E5" s="5"/>
      <c r="F5" s="5"/>
      <c r="G5" s="5"/>
      <c r="H5" s="5"/>
    </row>
    <row r="6" spans="1:8" ht="23.25" customHeight="1">
      <c r="A6" s="15" t="s">
        <v>8</v>
      </c>
      <c r="B6" s="5"/>
      <c r="C6" s="5"/>
      <c r="D6" s="5"/>
      <c r="E6" s="5"/>
      <c r="F6" s="5"/>
      <c r="G6" s="5"/>
      <c r="H6" s="5"/>
    </row>
    <row r="7" spans="1:8" ht="23.25" customHeight="1">
      <c r="A7" s="15" t="s">
        <v>63</v>
      </c>
      <c r="B7" s="5"/>
      <c r="C7" s="5"/>
      <c r="D7" s="5"/>
      <c r="E7" s="5"/>
      <c r="F7" s="5"/>
      <c r="G7" s="5"/>
      <c r="H7" s="5"/>
    </row>
    <row r="8" spans="1:8">
      <c r="A8" s="23"/>
      <c r="B8" s="23"/>
      <c r="C8" s="23"/>
      <c r="D8" s="23"/>
      <c r="E8" s="24"/>
      <c r="F8" s="24"/>
      <c r="G8" s="2"/>
      <c r="H8" s="2"/>
    </row>
    <row r="9" spans="1:8" ht="25.5" customHeight="1">
      <c r="A9" s="25" t="s">
        <v>0</v>
      </c>
      <c r="B9" s="25" t="s">
        <v>9</v>
      </c>
      <c r="C9" s="25" t="s">
        <v>1</v>
      </c>
      <c r="D9" s="26" t="s">
        <v>2</v>
      </c>
      <c r="E9" s="26" t="s">
        <v>3</v>
      </c>
      <c r="F9" s="26" t="s">
        <v>47</v>
      </c>
      <c r="G9" s="20"/>
      <c r="H9" s="20"/>
    </row>
    <row r="10" spans="1:8" ht="35.25" customHeight="1">
      <c r="A10" s="91"/>
      <c r="B10" s="131" t="s">
        <v>190</v>
      </c>
      <c r="C10" s="131"/>
      <c r="D10" s="91" t="s">
        <v>57</v>
      </c>
      <c r="E10" s="21">
        <v>1</v>
      </c>
      <c r="F10" s="91"/>
      <c r="G10" s="20"/>
      <c r="H10" s="20"/>
    </row>
    <row r="11" spans="1:8" ht="35.25" customHeight="1">
      <c r="A11" s="62">
        <v>1</v>
      </c>
      <c r="B11" s="93" t="s">
        <v>191</v>
      </c>
      <c r="C11" s="104" t="str">
        <f>VLOOKUP(B11,[1]TỔNG!$D$3:$Q$879,2,0)</f>
        <v>Tay nắm cửa đi (VR2)</v>
      </c>
      <c r="D11" s="61" t="s">
        <v>58</v>
      </c>
      <c r="E11" s="62">
        <v>1</v>
      </c>
      <c r="F11" s="99"/>
      <c r="G11" s="20"/>
      <c r="H11" s="20"/>
    </row>
    <row r="12" spans="1:8" ht="35.25" customHeight="1">
      <c r="A12" s="98">
        <v>5</v>
      </c>
      <c r="B12" s="93" t="s">
        <v>192</v>
      </c>
      <c r="C12" s="104" t="str">
        <f>VLOOKUP(B12,[1]TỔNG!$D$3:$Q$879,2,0)</f>
        <v>Lõi khóa mở ngoài hệ VRE65 
32.5/70</v>
      </c>
      <c r="D12" s="97" t="s">
        <v>197</v>
      </c>
      <c r="E12" s="98">
        <v>1</v>
      </c>
      <c r="F12" s="105" t="s">
        <v>212</v>
      </c>
      <c r="G12" s="20"/>
      <c r="H12" s="20"/>
    </row>
    <row r="13" spans="1:8" ht="35.25" customHeight="1">
      <c r="A13" s="98">
        <v>6</v>
      </c>
      <c r="B13" s="93" t="s">
        <v>193</v>
      </c>
      <c r="C13" s="104" t="str">
        <f>VLOOKUP(B13,[1]TỔNG!$D$3:$Q$879,2,0)</f>
        <v>Trục &amp; ốc vít (VRE65)</v>
      </c>
      <c r="D13" s="97" t="s">
        <v>199</v>
      </c>
      <c r="E13" s="98">
        <v>1</v>
      </c>
      <c r="F13" s="105" t="s">
        <v>211</v>
      </c>
      <c r="G13" s="20"/>
      <c r="H13" s="20"/>
    </row>
    <row r="14" spans="1:8" ht="35.25" customHeight="1">
      <c r="A14" s="98">
        <v>7</v>
      </c>
      <c r="B14" s="93" t="s">
        <v>194</v>
      </c>
      <c r="C14" s="33" t="str">
        <f>VLOOKUP(B14,[1]TỔNG!$D$3:$Q$879,2,0)</f>
        <v>Miệng đón khóa điều chỉnh (cửa đi 2 cánh) - Chung với VRE</v>
      </c>
      <c r="D14" s="97" t="s">
        <v>196</v>
      </c>
      <c r="E14" s="98">
        <v>1</v>
      </c>
      <c r="F14" s="99"/>
      <c r="G14" s="20"/>
      <c r="H14" s="20"/>
    </row>
    <row r="15" spans="1:8" ht="35.25" customHeight="1">
      <c r="A15" s="98">
        <v>11</v>
      </c>
      <c r="B15" s="93" t="s">
        <v>195</v>
      </c>
      <c r="C15" s="104" t="str">
        <f>VLOOKUP(B15,[1]TỔNG!$D$3:$Q$879,2,0)</f>
        <v>Bộ chuyển động 4 thứ - cửa sổ  (VRE)</v>
      </c>
      <c r="D15" s="97" t="s">
        <v>58</v>
      </c>
      <c r="E15" s="98">
        <v>1</v>
      </c>
      <c r="F15" s="99" t="s">
        <v>263</v>
      </c>
      <c r="G15" s="20"/>
      <c r="H15" s="20"/>
    </row>
    <row r="16" spans="1:8" ht="35.25" customHeight="1">
      <c r="A16" s="106"/>
      <c r="B16" s="131" t="s">
        <v>213</v>
      </c>
      <c r="C16" s="131"/>
      <c r="D16" s="96" t="s">
        <v>57</v>
      </c>
      <c r="E16" s="96">
        <v>1</v>
      </c>
      <c r="F16" s="106"/>
      <c r="G16" s="20"/>
      <c r="H16" s="20"/>
    </row>
    <row r="17" spans="1:8" ht="35.25" customHeight="1">
      <c r="A17" s="98">
        <v>1</v>
      </c>
      <c r="B17" s="109" t="s">
        <v>214</v>
      </c>
      <c r="C17" s="108" t="s">
        <v>215</v>
      </c>
      <c r="D17" s="97" t="s">
        <v>196</v>
      </c>
      <c r="E17" s="98">
        <v>4</v>
      </c>
      <c r="F17" s="122"/>
      <c r="G17" s="20"/>
      <c r="H17" s="20"/>
    </row>
    <row r="18" spans="1:8" ht="35.25" customHeight="1">
      <c r="A18" s="98">
        <v>2</v>
      </c>
      <c r="B18" s="109" t="s">
        <v>216</v>
      </c>
      <c r="C18" s="108" t="str">
        <f>VLOOKUP(B18,[1]TỔNG!$D$3:$Q$242,2,0)</f>
        <v>Thân khóa lùa đa điểm  -Móc đôi.
(Thân+ miệng đón khóa)</v>
      </c>
      <c r="D18" s="97" t="s">
        <v>196</v>
      </c>
      <c r="E18" s="98">
        <v>2</v>
      </c>
      <c r="F18" s="123" t="s">
        <v>262</v>
      </c>
      <c r="G18" s="20"/>
      <c r="H18" s="20"/>
    </row>
    <row r="19" spans="1:8" ht="35.25" customHeight="1">
      <c r="A19" s="98">
        <v>3</v>
      </c>
      <c r="B19" s="109" t="s">
        <v>217</v>
      </c>
      <c r="C19" s="110" t="str">
        <f>VLOOKUP(B19,[1]TỔNG!$D$3:$Q$242,2,0)</f>
        <v>Nắp chụp ruột khóa Viral
(Nắp lõi khoá)</v>
      </c>
      <c r="D19" s="98" t="s">
        <v>199</v>
      </c>
      <c r="E19" s="98">
        <v>2</v>
      </c>
      <c r="F19" s="122"/>
      <c r="G19" s="20"/>
      <c r="H19" s="20"/>
    </row>
    <row r="20" spans="1:8" ht="35.25" customHeight="1">
      <c r="A20" s="98">
        <v>4</v>
      </c>
      <c r="B20" s="109" t="s">
        <v>221</v>
      </c>
      <c r="C20" s="108" t="str">
        <f>VLOOKUP(B20,[1]TỔNG!$D$3:$Q$242,2,0)</f>
        <v>Lõi khóa cửa lùa (VRE120)
Lõi cân 35/35(37/37)</v>
      </c>
      <c r="D20" s="98" t="s">
        <v>197</v>
      </c>
      <c r="E20" s="98">
        <v>2</v>
      </c>
      <c r="F20" s="122"/>
      <c r="G20" s="20"/>
      <c r="H20" s="20"/>
    </row>
    <row r="21" spans="1:8" ht="35.25" customHeight="1">
      <c r="A21" s="98">
        <v>7</v>
      </c>
      <c r="B21" s="107" t="s">
        <v>218</v>
      </c>
      <c r="C21" s="108" t="str">
        <f>VLOOKUP(B21,[1]TỔNG!$D$3:$Q$242,2,0)</f>
        <v>Chống đập cánh</v>
      </c>
      <c r="D21" s="97" t="s">
        <v>196</v>
      </c>
      <c r="E21" s="98">
        <v>2</v>
      </c>
      <c r="F21" s="122"/>
      <c r="G21" s="20"/>
      <c r="H21" s="20"/>
    </row>
    <row r="22" spans="1:8" ht="35.25" customHeight="1">
      <c r="A22" s="106"/>
      <c r="B22" s="131" t="s">
        <v>219</v>
      </c>
      <c r="C22" s="131"/>
      <c r="D22" s="96" t="s">
        <v>57</v>
      </c>
      <c r="E22" s="96">
        <v>1</v>
      </c>
      <c r="F22" s="106"/>
      <c r="G22" s="20"/>
      <c r="H22" s="20"/>
    </row>
    <row r="23" spans="1:8" ht="35.25" customHeight="1">
      <c r="A23" s="98">
        <v>3</v>
      </c>
      <c r="B23" s="109" t="s">
        <v>214</v>
      </c>
      <c r="C23" s="108" t="s">
        <v>220</v>
      </c>
      <c r="D23" s="97" t="s">
        <v>196</v>
      </c>
      <c r="E23" s="98">
        <v>4</v>
      </c>
      <c r="F23" s="122"/>
      <c r="G23" s="20"/>
      <c r="H23" s="20"/>
    </row>
    <row r="24" spans="1:8" ht="35.25" customHeight="1">
      <c r="A24" s="98">
        <v>4</v>
      </c>
      <c r="B24" s="109" t="s">
        <v>216</v>
      </c>
      <c r="C24" s="108" t="str">
        <f>VLOOKUP(B24,[1]TỔNG!$D$3:$Q$242,2,0)</f>
        <v>Thân khóa lùa đa điểm  -Móc đôi.
(Thân+ miệng đón khóa)</v>
      </c>
      <c r="D24" s="97" t="s">
        <v>196</v>
      </c>
      <c r="E24" s="98">
        <v>1</v>
      </c>
      <c r="F24" s="123" t="s">
        <v>262</v>
      </c>
      <c r="G24" s="20"/>
      <c r="H24" s="20"/>
    </row>
    <row r="25" spans="1:8" ht="35.25" customHeight="1">
      <c r="A25" s="98">
        <v>5</v>
      </c>
      <c r="B25" s="109" t="s">
        <v>217</v>
      </c>
      <c r="C25" s="110" t="str">
        <f>VLOOKUP(B25,[1]TỔNG!$D$3:$Q$242,2,0)</f>
        <v>Nắp chụp ruột khóa Viral
(Nắp lõi khoá)</v>
      </c>
      <c r="D25" s="98" t="s">
        <v>199</v>
      </c>
      <c r="E25" s="98"/>
      <c r="F25" s="123"/>
      <c r="G25" s="20"/>
      <c r="H25" s="20"/>
    </row>
    <row r="26" spans="1:8" ht="35.25" customHeight="1">
      <c r="A26" s="98">
        <v>6</v>
      </c>
      <c r="B26" s="109" t="s">
        <v>221</v>
      </c>
      <c r="C26" s="108" t="str">
        <f>VLOOKUP(B26,[1]TỔNG!$D$3:$Q$242,2,0)</f>
        <v>Lõi khóa cửa lùa (VRE120)
Lõi cân 35/35(37/37)</v>
      </c>
      <c r="D26" s="97" t="s">
        <v>196</v>
      </c>
      <c r="E26" s="98">
        <v>1</v>
      </c>
      <c r="F26" s="122" t="s">
        <v>259</v>
      </c>
      <c r="G26" s="20"/>
      <c r="H26" s="20"/>
    </row>
    <row r="27" spans="1:8" ht="35.25" customHeight="1">
      <c r="A27" s="98">
        <v>9</v>
      </c>
      <c r="B27" s="107" t="s">
        <v>218</v>
      </c>
      <c r="C27" s="108" t="str">
        <f>VLOOKUP(B27,[1]TỔNG!$D$3:$Q$242,2,0)</f>
        <v>Chống đập cánh</v>
      </c>
      <c r="D27" s="97" t="s">
        <v>196</v>
      </c>
      <c r="E27" s="98">
        <v>4</v>
      </c>
      <c r="F27" s="122"/>
      <c r="G27" s="20"/>
      <c r="H27" s="20"/>
    </row>
    <row r="28" spans="1:8" ht="35.25" customHeight="1">
      <c r="A28" s="124"/>
      <c r="B28" s="107" t="s">
        <v>261</v>
      </c>
      <c r="C28" s="108" t="s">
        <v>260</v>
      </c>
      <c r="D28" s="97" t="s">
        <v>196</v>
      </c>
      <c r="E28" s="124">
        <v>4</v>
      </c>
      <c r="F28" s="123"/>
      <c r="G28" s="20"/>
      <c r="H28" s="20"/>
    </row>
    <row r="29" spans="1:8" ht="35.25" customHeight="1">
      <c r="A29" s="98"/>
      <c r="B29" s="131" t="s">
        <v>224</v>
      </c>
      <c r="C29" s="131"/>
      <c r="D29" s="96" t="s">
        <v>57</v>
      </c>
      <c r="E29" s="96">
        <v>1</v>
      </c>
      <c r="F29" s="106"/>
      <c r="G29" s="20"/>
      <c r="H29" s="20"/>
    </row>
    <row r="30" spans="1:8" ht="35.25" customHeight="1">
      <c r="A30" s="98">
        <v>5</v>
      </c>
      <c r="B30" s="107" t="s">
        <v>225</v>
      </c>
      <c r="C30" s="108" t="str">
        <f>VLOOKUP(B30,[1]TỔNG!$D$3:$Q$242,2,0)</f>
        <v>Giảm chấn (Núm cao su)</v>
      </c>
      <c r="D30" s="97" t="s">
        <v>196</v>
      </c>
      <c r="E30" s="98">
        <v>4</v>
      </c>
      <c r="F30" s="98"/>
      <c r="G30" s="20"/>
      <c r="H30" s="20"/>
    </row>
    <row r="31" spans="1:8" ht="35.25" customHeight="1">
      <c r="A31" s="98">
        <v>6</v>
      </c>
      <c r="B31" s="107" t="s">
        <v>218</v>
      </c>
      <c r="C31" s="108" t="str">
        <f>VLOOKUP(B31,[1]TỔNG!$D$3:$Q$242,2,0)</f>
        <v>Chống đập cánh</v>
      </c>
      <c r="D31" s="97" t="s">
        <v>196</v>
      </c>
      <c r="E31" s="98">
        <v>2</v>
      </c>
      <c r="F31" s="98"/>
      <c r="G31" s="20"/>
      <c r="H31" s="20"/>
    </row>
    <row r="32" spans="1:8" ht="35.25" customHeight="1">
      <c r="A32" s="98">
        <v>7</v>
      </c>
      <c r="B32" s="107" t="s">
        <v>226</v>
      </c>
      <c r="C32" s="108" t="str">
        <f>VLOOKUP(B32,[1]TỔNG!$D$3:$Q$242,2,0)</f>
        <v>Dẫn hướng cửa lùa VRA</v>
      </c>
      <c r="D32" s="97" t="s">
        <v>196</v>
      </c>
      <c r="E32" s="98">
        <v>4</v>
      </c>
      <c r="F32" s="98"/>
      <c r="G32" s="20"/>
      <c r="H32" s="20"/>
    </row>
    <row r="33" spans="1:8" ht="35.25" customHeight="1">
      <c r="A33" s="124"/>
      <c r="B33" s="107" t="s">
        <v>261</v>
      </c>
      <c r="C33" s="108" t="s">
        <v>260</v>
      </c>
      <c r="D33" s="97" t="s">
        <v>196</v>
      </c>
      <c r="E33" s="124">
        <v>4</v>
      </c>
      <c r="F33" s="124"/>
      <c r="G33" s="20"/>
      <c r="H33" s="20"/>
    </row>
    <row r="34" spans="1:8" ht="35.25" customHeight="1">
      <c r="A34" s="98"/>
      <c r="B34" s="131" t="s">
        <v>227</v>
      </c>
      <c r="C34" s="131"/>
      <c r="D34" s="96" t="s">
        <v>57</v>
      </c>
      <c r="E34" s="96">
        <v>1</v>
      </c>
      <c r="F34" s="106"/>
      <c r="G34" s="20"/>
      <c r="H34" s="20"/>
    </row>
    <row r="35" spans="1:8" ht="35.25" customHeight="1">
      <c r="A35" s="98">
        <v>6</v>
      </c>
      <c r="B35" s="107" t="s">
        <v>218</v>
      </c>
      <c r="C35" s="108" t="str">
        <f>VLOOKUP(B35,[1]TỔNG!$D$3:$Q$242,2,0)</f>
        <v>Chống đập cánh</v>
      </c>
      <c r="D35" s="97" t="s">
        <v>196</v>
      </c>
      <c r="E35" s="98">
        <v>2</v>
      </c>
      <c r="F35" s="122"/>
      <c r="G35" s="20"/>
      <c r="H35" s="20"/>
    </row>
    <row r="36" spans="1:8" ht="35.25" customHeight="1">
      <c r="A36" s="124"/>
      <c r="B36" s="107" t="s">
        <v>261</v>
      </c>
      <c r="C36" s="108" t="s">
        <v>260</v>
      </c>
      <c r="D36" s="97" t="s">
        <v>196</v>
      </c>
      <c r="E36" s="124">
        <v>4</v>
      </c>
      <c r="F36" s="123"/>
      <c r="G36" s="20"/>
      <c r="H36" s="20"/>
    </row>
    <row r="37" spans="1:8" ht="36" customHeight="1">
      <c r="A37" s="62"/>
      <c r="B37" s="67"/>
      <c r="C37" s="33"/>
      <c r="D37" s="61"/>
      <c r="E37" s="62"/>
      <c r="F37" s="62"/>
      <c r="G37" s="20"/>
      <c r="H37" s="20"/>
    </row>
    <row r="38" spans="1:8">
      <c r="A38" s="2"/>
    </row>
    <row r="39" spans="1:8" ht="15.75">
      <c r="A39" s="27"/>
      <c r="B39" s="28"/>
      <c r="C39" s="128" t="s">
        <v>228</v>
      </c>
      <c r="D39" s="128"/>
      <c r="E39" s="128"/>
      <c r="F39" s="128"/>
    </row>
    <row r="40" spans="1:8" ht="18.75">
      <c r="A40" s="3"/>
      <c r="B40" s="4"/>
      <c r="C40" s="4"/>
      <c r="D40" s="4"/>
      <c r="E40" s="4"/>
      <c r="F40" s="29"/>
    </row>
    <row r="41" spans="1:8" ht="18.75">
      <c r="A41" s="30" t="s">
        <v>11</v>
      </c>
      <c r="B41" s="30"/>
      <c r="C41" s="30"/>
      <c r="D41" s="30"/>
      <c r="E41" s="30"/>
      <c r="F41" s="29"/>
    </row>
    <row r="42" spans="1:8" ht="18.75">
      <c r="A42" s="31" t="s">
        <v>12</v>
      </c>
      <c r="B42" s="32"/>
      <c r="C42" s="32"/>
      <c r="D42" s="32"/>
      <c r="E42" s="32"/>
      <c r="F42" s="29"/>
      <c r="G42" s="1"/>
    </row>
  </sheetData>
  <mergeCells count="8">
    <mergeCell ref="A1:F1"/>
    <mergeCell ref="B2:F2"/>
    <mergeCell ref="B10:C10"/>
    <mergeCell ref="B29:C29"/>
    <mergeCell ref="B34:C34"/>
    <mergeCell ref="C39:F39"/>
    <mergeCell ref="B22:C22"/>
    <mergeCell ref="B16:C16"/>
  </mergeCells>
  <pageMargins left="0.7" right="0.7" top="0.75" bottom="0.75" header="0.3" footer="0.3"/>
  <pageSetup scale="8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>
      <selection activeCell="B8" sqref="B8:D8"/>
    </sheetView>
  </sheetViews>
  <sheetFormatPr defaultRowHeight="15"/>
  <cols>
    <col min="1" max="1" width="7.85546875" customWidth="1"/>
    <col min="3" max="3" width="30" customWidth="1"/>
    <col min="8" max="8" width="9.5703125" style="81" bestFit="1" customWidth="1"/>
    <col min="9" max="9" width="20.5703125" customWidth="1"/>
  </cols>
  <sheetData>
    <row r="1" spans="1:11">
      <c r="A1" s="34" t="s">
        <v>24</v>
      </c>
      <c r="B1" s="35"/>
      <c r="C1" s="34"/>
      <c r="D1" s="34"/>
      <c r="E1" s="34"/>
      <c r="F1" s="36"/>
      <c r="G1" s="36"/>
      <c r="H1" s="77"/>
      <c r="I1" s="37"/>
      <c r="J1" s="38"/>
      <c r="K1" s="38"/>
    </row>
    <row r="2" spans="1:11">
      <c r="A2" s="143" t="s">
        <v>25</v>
      </c>
      <c r="B2" s="143"/>
      <c r="C2" s="143"/>
      <c r="D2" s="143"/>
      <c r="E2" s="143"/>
      <c r="F2" s="143"/>
      <c r="G2" s="143"/>
      <c r="H2" s="143"/>
      <c r="I2" s="39"/>
      <c r="J2" s="40"/>
      <c r="K2" s="40"/>
    </row>
    <row r="3" spans="1:11">
      <c r="A3" s="143" t="s">
        <v>26</v>
      </c>
      <c r="B3" s="143"/>
      <c r="C3" s="143"/>
      <c r="D3" s="143"/>
      <c r="E3" s="143"/>
      <c r="F3" s="143"/>
      <c r="G3" s="143"/>
      <c r="H3" s="143"/>
      <c r="I3" s="39"/>
      <c r="J3" s="40"/>
      <c r="K3" s="40"/>
    </row>
    <row r="4" spans="1:11">
      <c r="A4" s="143" t="s">
        <v>27</v>
      </c>
      <c r="B4" s="143"/>
      <c r="C4" s="143"/>
      <c r="D4" s="143"/>
      <c r="E4" s="143"/>
      <c r="F4" s="143"/>
      <c r="G4" s="143"/>
      <c r="H4" s="143"/>
      <c r="I4" s="39"/>
      <c r="J4" s="40"/>
      <c r="K4" s="40"/>
    </row>
    <row r="5" spans="1:11">
      <c r="A5" s="144" t="s">
        <v>28</v>
      </c>
      <c r="B5" s="144"/>
      <c r="C5" s="144"/>
      <c r="D5" s="144"/>
      <c r="E5" s="144"/>
      <c r="F5" s="144"/>
      <c r="G5" s="144"/>
      <c r="H5" s="144"/>
      <c r="I5" s="41"/>
      <c r="J5" s="42"/>
      <c r="K5" s="42"/>
    </row>
    <row r="6" spans="1:11" ht="19.5">
      <c r="A6" s="145" t="s">
        <v>29</v>
      </c>
      <c r="B6" s="145"/>
      <c r="C6" s="145"/>
      <c r="D6" s="145"/>
      <c r="E6" s="145"/>
      <c r="F6" s="145"/>
      <c r="G6" s="145"/>
      <c r="H6" s="145"/>
      <c r="I6" s="43"/>
      <c r="J6" s="43"/>
      <c r="K6" s="43"/>
    </row>
    <row r="7" spans="1:11" ht="15.75">
      <c r="A7" s="146" t="s">
        <v>79</v>
      </c>
      <c r="B7" s="146"/>
      <c r="C7" s="146"/>
      <c r="D7" s="146"/>
      <c r="E7" s="146"/>
      <c r="F7" s="146"/>
      <c r="G7" s="146"/>
      <c r="H7" s="146"/>
      <c r="J7" s="43"/>
      <c r="K7" s="43"/>
    </row>
    <row r="8" spans="1:11" ht="15.75">
      <c r="A8" s="44"/>
      <c r="B8" s="141" t="s">
        <v>77</v>
      </c>
      <c r="C8" s="141"/>
      <c r="D8" s="141"/>
      <c r="E8" s="147" t="s">
        <v>30</v>
      </c>
      <c r="F8" s="147"/>
      <c r="G8" s="147"/>
      <c r="H8" s="147"/>
      <c r="I8" s="43"/>
      <c r="J8" s="46"/>
      <c r="K8" s="46"/>
    </row>
    <row r="9" spans="1:11">
      <c r="A9" s="44"/>
      <c r="B9" s="141" t="s">
        <v>31</v>
      </c>
      <c r="C9" s="141"/>
      <c r="D9" s="47"/>
      <c r="E9" s="148"/>
      <c r="F9" s="148"/>
      <c r="G9" s="148"/>
      <c r="H9" s="148"/>
      <c r="I9" s="148"/>
      <c r="J9" s="46"/>
      <c r="K9" s="46"/>
    </row>
    <row r="10" spans="1:11">
      <c r="A10" s="44"/>
      <c r="B10" s="141" t="s">
        <v>78</v>
      </c>
      <c r="C10" s="142"/>
      <c r="D10" s="142"/>
      <c r="E10" s="142"/>
      <c r="F10" s="142"/>
      <c r="G10" s="142"/>
      <c r="H10" s="142"/>
      <c r="I10" s="45"/>
      <c r="J10" s="46"/>
      <c r="K10" s="46"/>
    </row>
    <row r="11" spans="1:11">
      <c r="A11" s="44"/>
      <c r="B11" s="141" t="s">
        <v>32</v>
      </c>
      <c r="C11" s="142"/>
      <c r="D11" s="142"/>
      <c r="E11" s="142"/>
      <c r="F11" s="142"/>
      <c r="G11" s="142"/>
      <c r="H11" s="142"/>
      <c r="I11" s="45"/>
      <c r="J11" s="46"/>
      <c r="K11" s="46"/>
    </row>
    <row r="12" spans="1:11">
      <c r="A12" s="44"/>
      <c r="B12" s="142" t="s">
        <v>60</v>
      </c>
      <c r="C12" s="142"/>
      <c r="D12" s="142"/>
      <c r="E12" s="142"/>
      <c r="F12" s="142"/>
      <c r="G12" s="142"/>
      <c r="H12" s="142"/>
      <c r="I12" s="45"/>
      <c r="J12" s="46"/>
      <c r="K12" s="46"/>
    </row>
    <row r="13" spans="1:11">
      <c r="A13" s="44"/>
      <c r="B13" s="142" t="s">
        <v>45</v>
      </c>
      <c r="C13" s="142"/>
      <c r="D13" s="142"/>
      <c r="E13" s="142"/>
      <c r="F13" s="142"/>
      <c r="G13" s="142"/>
      <c r="H13" s="142"/>
      <c r="I13" s="45"/>
      <c r="J13" s="46"/>
      <c r="K13" s="46"/>
    </row>
    <row r="14" spans="1:11">
      <c r="A14" s="44"/>
      <c r="B14" s="141" t="s">
        <v>64</v>
      </c>
      <c r="C14" s="142"/>
      <c r="D14" s="142"/>
      <c r="E14" s="142"/>
      <c r="F14" s="142"/>
      <c r="G14" s="142"/>
      <c r="H14" s="142"/>
      <c r="I14" s="45"/>
      <c r="J14" s="46"/>
      <c r="K14" s="46"/>
    </row>
    <row r="15" spans="1:11" ht="15.75">
      <c r="A15" s="152" t="s">
        <v>33</v>
      </c>
      <c r="B15" s="149" t="s">
        <v>34</v>
      </c>
      <c r="C15" s="149" t="s">
        <v>35</v>
      </c>
      <c r="D15" s="149" t="s">
        <v>36</v>
      </c>
      <c r="E15" s="149"/>
      <c r="F15" s="149" t="s">
        <v>19</v>
      </c>
      <c r="G15" s="149" t="s">
        <v>37</v>
      </c>
      <c r="H15" s="150" t="s">
        <v>38</v>
      </c>
      <c r="I15" s="152" t="s">
        <v>39</v>
      </c>
      <c r="J15" s="43"/>
      <c r="K15" s="43"/>
    </row>
    <row r="16" spans="1:11" ht="39" customHeight="1">
      <c r="A16" s="152"/>
      <c r="B16" s="149"/>
      <c r="C16" s="149"/>
      <c r="D16" s="48" t="s">
        <v>40</v>
      </c>
      <c r="E16" s="48" t="s">
        <v>41</v>
      </c>
      <c r="F16" s="149"/>
      <c r="G16" s="149"/>
      <c r="H16" s="150"/>
      <c r="I16" s="152"/>
      <c r="J16" s="60"/>
      <c r="K16" s="43"/>
    </row>
    <row r="17" spans="1:11" ht="48" customHeight="1">
      <c r="A17" s="84"/>
      <c r="B17" s="85"/>
      <c r="C17" s="76"/>
      <c r="D17" s="76"/>
      <c r="E17" s="76"/>
      <c r="F17" s="76"/>
      <c r="G17" s="76"/>
      <c r="H17" s="78"/>
      <c r="I17" s="90"/>
      <c r="J17" s="43"/>
      <c r="K17" s="43"/>
    </row>
    <row r="18" spans="1:11" ht="48" customHeight="1">
      <c r="A18" s="84"/>
      <c r="B18" s="85"/>
      <c r="C18" s="85"/>
      <c r="D18" s="85"/>
      <c r="E18" s="85"/>
      <c r="F18" s="85"/>
      <c r="G18" s="85"/>
      <c r="H18" s="78"/>
      <c r="I18" s="90"/>
      <c r="J18" s="43"/>
      <c r="K18" s="43"/>
    </row>
    <row r="19" spans="1:11" ht="48" customHeight="1">
      <c r="A19" s="84"/>
      <c r="B19" s="85"/>
      <c r="C19" s="85"/>
      <c r="D19" s="85"/>
      <c r="E19" s="85"/>
      <c r="F19" s="85"/>
      <c r="G19" s="85"/>
      <c r="H19" s="78"/>
      <c r="I19" s="90"/>
      <c r="J19" s="43"/>
      <c r="K19" s="43"/>
    </row>
    <row r="20" spans="1:11" ht="48" customHeight="1">
      <c r="A20" s="84"/>
      <c r="B20" s="85"/>
      <c r="C20" s="85"/>
      <c r="D20" s="85"/>
      <c r="E20" s="85"/>
      <c r="F20" s="85"/>
      <c r="G20" s="85"/>
      <c r="H20" s="78"/>
      <c r="I20" s="90"/>
      <c r="J20" s="43"/>
      <c r="K20" s="43"/>
    </row>
    <row r="21" spans="1:11" ht="48" customHeight="1">
      <c r="A21" s="84"/>
      <c r="B21" s="85"/>
      <c r="C21" s="90"/>
      <c r="D21" s="85"/>
      <c r="E21" s="85"/>
      <c r="F21" s="85"/>
      <c r="G21" s="85"/>
      <c r="H21" s="78"/>
      <c r="I21" s="90"/>
      <c r="J21" s="43"/>
      <c r="K21" s="43"/>
    </row>
    <row r="22" spans="1:11" ht="37.5" customHeight="1">
      <c r="A22" s="50"/>
      <c r="B22" s="153" t="s">
        <v>42</v>
      </c>
      <c r="C22" s="153"/>
      <c r="D22" s="51"/>
      <c r="E22" s="52"/>
      <c r="F22" s="53"/>
      <c r="G22" s="54">
        <f>SUM(G17:G21)</f>
        <v>0</v>
      </c>
      <c r="H22" s="79">
        <f>SUM(H17:H21)</f>
        <v>0</v>
      </c>
      <c r="I22" s="55"/>
      <c r="J22" s="43"/>
      <c r="K22" s="43"/>
    </row>
    <row r="23" spans="1:11" ht="24.75" customHeight="1">
      <c r="A23" s="56"/>
      <c r="B23" s="57"/>
      <c r="C23" s="58"/>
      <c r="D23" s="154" t="s">
        <v>80</v>
      </c>
      <c r="E23" s="154"/>
      <c r="F23" s="154"/>
      <c r="G23" s="154"/>
      <c r="H23" s="154"/>
      <c r="I23" s="154"/>
      <c r="J23" s="49"/>
      <c r="K23" s="49"/>
    </row>
    <row r="24" spans="1:11" ht="18" customHeight="1">
      <c r="A24" s="155" t="s">
        <v>43</v>
      </c>
      <c r="B24" s="155"/>
      <c r="C24" s="155"/>
      <c r="D24" s="155"/>
      <c r="E24" s="155"/>
      <c r="F24" s="155"/>
      <c r="G24" s="155"/>
      <c r="H24" s="155"/>
      <c r="I24" s="155"/>
      <c r="J24" s="49"/>
      <c r="K24" s="49"/>
    </row>
    <row r="25" spans="1:11" ht="15.75">
      <c r="A25" s="59"/>
      <c r="B25" s="60"/>
      <c r="C25" s="43"/>
      <c r="D25" s="43"/>
      <c r="E25" s="43"/>
      <c r="F25" s="43"/>
      <c r="G25" s="43"/>
      <c r="H25" s="80"/>
      <c r="I25" s="43"/>
      <c r="J25" s="59"/>
      <c r="K25" s="59"/>
    </row>
    <row r="26" spans="1:11" ht="15.75">
      <c r="A26" s="59"/>
      <c r="B26" s="60"/>
      <c r="C26" s="43"/>
      <c r="D26" s="43"/>
      <c r="E26" s="43"/>
      <c r="F26" s="43"/>
      <c r="G26" s="43"/>
      <c r="H26" s="80"/>
      <c r="I26" s="43"/>
      <c r="J26" s="43"/>
      <c r="K26" s="43"/>
    </row>
    <row r="27" spans="1:11" ht="15.75">
      <c r="A27" s="151" t="s">
        <v>44</v>
      </c>
      <c r="B27" s="151"/>
      <c r="C27" s="151"/>
      <c r="D27" s="151"/>
      <c r="E27" s="151"/>
      <c r="F27" s="151"/>
      <c r="G27" s="151"/>
      <c r="H27" s="151"/>
      <c r="I27" s="151"/>
      <c r="J27" s="43"/>
      <c r="K27" s="43"/>
    </row>
  </sheetData>
  <mergeCells count="27">
    <mergeCell ref="A27:I27"/>
    <mergeCell ref="I15:I16"/>
    <mergeCell ref="B22:C22"/>
    <mergeCell ref="D23:I23"/>
    <mergeCell ref="A24:I24"/>
    <mergeCell ref="A15:A16"/>
    <mergeCell ref="B12:H12"/>
    <mergeCell ref="B13:H13"/>
    <mergeCell ref="B14:H14"/>
    <mergeCell ref="G15:G16"/>
    <mergeCell ref="H15:H16"/>
    <mergeCell ref="B15:B16"/>
    <mergeCell ref="C15:C16"/>
    <mergeCell ref="D15:E15"/>
    <mergeCell ref="F15:F16"/>
    <mergeCell ref="B11:H11"/>
    <mergeCell ref="A2:H2"/>
    <mergeCell ref="A3:H3"/>
    <mergeCell ref="A4:H4"/>
    <mergeCell ref="A5:H5"/>
    <mergeCell ref="A6:H6"/>
    <mergeCell ref="A7:H7"/>
    <mergeCell ref="B8:D8"/>
    <mergeCell ref="E8:H8"/>
    <mergeCell ref="B9:C9"/>
    <mergeCell ref="E9:I9"/>
    <mergeCell ref="B10:H10"/>
  </mergeCells>
  <pageMargins left="0.7" right="0.7" top="0.75" bottom="0.75" header="0.3" footer="0.3"/>
  <pageSetup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NHÔM_L1</vt:lpstr>
      <vt:lpstr>VTP_L1</vt:lpstr>
      <vt:lpstr>PK_L1 </vt:lpstr>
      <vt:lpstr>KH CT VÂN ANH </vt:lpstr>
      <vt:lpstr>KD_VÂN ANH </vt:lpstr>
      <vt:lpstr>NHÔM_L2</vt:lpstr>
      <vt:lpstr>PK_L2 </vt:lpstr>
      <vt:lpstr>PHIỄU XUÂT KHO </vt:lpstr>
      <vt:lpstr>NHÔM_L1!Print_Titles</vt:lpstr>
      <vt:lpstr>NHÔM_L2!Print_Titles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tsc</dc:creator>
  <cp:lastModifiedBy>HOME</cp:lastModifiedBy>
  <cp:lastPrinted>2025-12-18T09:40:41Z</cp:lastPrinted>
  <dcterms:created xsi:type="dcterms:W3CDTF">2016-08-23T04:10:25Z</dcterms:created>
  <dcterms:modified xsi:type="dcterms:W3CDTF">2025-12-18T09:52:56Z</dcterms:modified>
</cp:coreProperties>
</file>